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bogen/dme_dashboard/dme_dashboard/"/>
    </mc:Choice>
  </mc:AlternateContent>
  <xr:revisionPtr revIDLastSave="0" documentId="13_ncr:1_{4F749431-B9A2-374B-9061-FD256974F62C}" xr6:coauthVersionLast="47" xr6:coauthVersionMax="47" xr10:uidLastSave="{00000000-0000-0000-0000-000000000000}"/>
  <bookViews>
    <workbookView xWindow="0" yWindow="500" windowWidth="12640" windowHeight="16260" firstSheet="1" activeTab="2" xr2:uid="{64CC3F8C-9189-8D45-BA8A-5A4D0BC92494}"/>
  </bookViews>
  <sheets>
    <sheet name="SupplyClean" sheetId="7" r:id="rId1"/>
    <sheet name="DemandClean" sheetId="8" r:id="rId2"/>
    <sheet name="DistClean_ZR" sheetId="9" r:id="rId3"/>
    <sheet name="DistClean_RW" sheetId="10" r:id="rId4"/>
    <sheet name="DistClean_WZ" sheetId="11" r:id="rId5"/>
    <sheet name="TrafficRatesClean" sheetId="12" r:id="rId6"/>
    <sheet name="GammaClean" sheetId="13" r:id="rId7"/>
    <sheet name="LaneCap_ZR" sheetId="14" r:id="rId8"/>
    <sheet name="LaneCap_Wz" sheetId="15" r:id="rId9"/>
    <sheet name="Sheet4" sheetId="6" r:id="rId10"/>
    <sheet name="Sheet2" sheetId="2" r:id="rId11"/>
    <sheet name="C6" sheetId="3" r:id="rId12"/>
    <sheet name="Sheet1" sheetId="1" r:id="rId13"/>
    <sheet name="C7" sheetId="4" r:id="rId14"/>
    <sheet name="Sheet3" sheetId="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5" l="1"/>
  <c r="C16" i="5"/>
  <c r="E13" i="4"/>
  <c r="E14" i="4"/>
  <c r="E15" i="4"/>
  <c r="E16" i="4"/>
  <c r="E17" i="4"/>
  <c r="E12" i="4"/>
  <c r="E24" i="3"/>
  <c r="E25" i="3"/>
  <c r="E26" i="3"/>
  <c r="E27" i="3"/>
  <c r="E28" i="3"/>
  <c r="E23" i="3"/>
  <c r="D24" i="3"/>
  <c r="D25" i="3"/>
  <c r="D26" i="3"/>
  <c r="D27" i="3"/>
  <c r="D28" i="3"/>
  <c r="D23" i="3"/>
  <c r="F28" i="3" l="1"/>
  <c r="F27" i="3"/>
  <c r="F26" i="3"/>
  <c r="F25" i="3"/>
  <c r="F24" i="3"/>
  <c r="F23" i="3"/>
</calcChain>
</file>

<file path=xl/sharedStrings.xml><?xml version="1.0" encoding="utf-8"?>
<sst xmlns="http://schemas.openxmlformats.org/spreadsheetml/2006/main" count="392" uniqueCount="153">
  <si>
    <t>Demand</t>
  </si>
  <si>
    <t>Zone</t>
  </si>
  <si>
    <t>North</t>
  </si>
  <si>
    <t>South</t>
  </si>
  <si>
    <t>East</t>
  </si>
  <si>
    <t>West</t>
  </si>
  <si>
    <t>Midtown</t>
  </si>
  <si>
    <t>Suburbs</t>
  </si>
  <si>
    <t>\(Demand as % of Supply)</t>
  </si>
  <si>
    <t>Wheelchairs</t>
  </si>
  <si>
    <t>Canes</t>
  </si>
  <si>
    <t>Walkers</t>
  </si>
  <si>
    <t>Hospital Beds</t>
  </si>
  <si>
    <t>Nebulizers</t>
  </si>
  <si>
    <t>Total / Zone</t>
  </si>
  <si>
    <t>Total / Type</t>
  </si>
  <si>
    <t>β_z</t>
  </si>
  <si>
    <t>–</t>
  </si>
  <si>
    <t>Supply</t>
  </si>
  <si>
    <t>Zone / Eqqipment</t>
  </si>
  <si>
    <t xml:space="preserve">Zone / equipment </t>
  </si>
  <si>
    <t>Facility</t>
  </si>
  <si>
    <t>Location (Zone)</t>
  </si>
  <si>
    <t>Approx. Size (sq ft)</t>
  </si>
  <si>
    <t>Estimated Cost ($/sq ft/year)</t>
  </si>
  <si>
    <t>Monthly Cost (USD)</t>
  </si>
  <si>
    <t>Notes / Justification</t>
  </si>
  <si>
    <t>Refurb Center 1 (R1)</t>
  </si>
  <si>
    <t>Chamblee / Doraville (North–East Atlanta)</t>
  </si>
  <si>
    <t>3,000 sq ft</t>
  </si>
  <si>
    <t>~$10/sq ft/year</t>
  </si>
  <si>
    <t>$2,500/month</t>
  </si>
  <si>
    <t>Industrial corridor near I-85/I-285; high warehouse availability; mid-range pricing</t>
  </si>
  <si>
    <t>Refurb Center 2 (R2)</t>
  </si>
  <si>
    <t>Austell / Mableton (West Suburbs)</t>
  </si>
  <si>
    <t>~$9/sq ft/year</t>
  </si>
  <si>
    <t>$2,200/month</t>
  </si>
  <si>
    <t>Known logistics zone (Home Depot, Amazon); lower-cost industrial rents</t>
  </si>
  <si>
    <t>Warehouse (W1)</t>
  </si>
  <si>
    <t>West Midtown / South Atlanta Industrial (Central Distribution Zone)</t>
  </si>
  <si>
    <t>~$12/sq ft/year</t>
  </si>
  <si>
    <t>$3,000/month</t>
  </si>
  <si>
    <t>Close to Downtown; strong redistribution access; flex/industrial mix</t>
  </si>
  <si>
    <t>From / To</t>
  </si>
  <si>
    <t>Transportation Matrix(Miles)</t>
  </si>
  <si>
    <t>Latitude</t>
  </si>
  <si>
    <t>Longitude</t>
  </si>
  <si>
    <t>Refurb Center</t>
  </si>
  <si>
    <t>Reason</t>
  </si>
  <si>
    <t>R1 – Doraville</t>
  </si>
  <si>
    <t>Industrial NE corridor</t>
  </si>
  <si>
    <t>R2 – Austell</t>
  </si>
  <si>
    <t>West Suburbs industrial hub</t>
  </si>
  <si>
    <t>Warehouse</t>
  </si>
  <si>
    <t>W1 – Downtown</t>
  </si>
  <si>
    <t>Central redistribution node</t>
  </si>
  <si>
    <t>Zone →</t>
  </si>
  <si>
    <t>R1 (Doraville)</t>
  </si>
  <si>
    <t>R2 (Austell)</t>
  </si>
  <si>
    <t>From →</t>
  </si>
  <si>
    <t>W1 (Warehouse Downtown)</t>
  </si>
  <si>
    <t>W1 → Zone</t>
  </si>
  <si>
    <t>Distance (mi)</t>
  </si>
  <si>
    <t xml:space="preserve">Cost Matricies </t>
  </si>
  <si>
    <t>Rate assumptions</t>
  </si>
  <si>
    <t>both = medium city travel</t>
  </si>
  <si>
    <t>to R1 = med; to R2 = low (I-20/I-285)</t>
  </si>
  <si>
    <t>both = med (cross-city)</t>
  </si>
  <si>
    <t>to R1 = med; to R2 = low (Austell side)</t>
  </si>
  <si>
    <t>both = high congestion</t>
  </si>
  <si>
    <t>both = low (mostly highway)</t>
  </si>
  <si>
    <t>(Dollars) $</t>
  </si>
  <si>
    <t>W1 (Downtown Warehouse)</t>
  </si>
  <si>
    <t>R1</t>
  </si>
  <si>
    <t>R2</t>
  </si>
  <si>
    <t>High</t>
  </si>
  <si>
    <t>Med</t>
  </si>
  <si>
    <t>Low</t>
  </si>
  <si>
    <t>$/Unit</t>
  </si>
  <si>
    <t xml:space="preserve">Traffic </t>
  </si>
  <si>
    <t>Rate level</t>
  </si>
  <si>
    <t>Cost (USD/unit)</t>
  </si>
  <si>
    <t>med</t>
  </si>
  <si>
    <t>high</t>
  </si>
  <si>
    <t>low</t>
  </si>
  <si>
    <t>Same as beta in demand chart</t>
  </si>
  <si>
    <t>Phase 0</t>
  </si>
  <si>
    <t>Phase 1</t>
  </si>
  <si>
    <t>Phase 2</t>
  </si>
  <si>
    <t>Phase 3</t>
  </si>
  <si>
    <t>Each Trip can carry 20 Units</t>
  </si>
  <si>
    <t>“Lane capacities were scaled to be roughly 0.8–1.2× the total weekly DME supply per zone, to reflect plausible truck routing limits while keeping the model feasible.”</t>
  </si>
  <si>
    <t>Trips per Week</t>
  </si>
  <si>
    <t xml:space="preserve">Lana Capacity </t>
  </si>
  <si>
    <t>Measured in (units)</t>
  </si>
  <si>
    <t>Equipment Type</t>
  </si>
  <si>
    <t>Capacity_Units_per_Item</t>
  </si>
  <si>
    <t>Notes</t>
  </si>
  <si>
    <t>Hospital Bed</t>
  </si>
  <si>
    <t>Bulky, heavy (≈5 beds / truck)</t>
  </si>
  <si>
    <t>Wheelchair</t>
  </si>
  <si>
    <t>Medium size (≈10 / truck)</t>
  </si>
  <si>
    <t>Walker</t>
  </si>
  <si>
    <t>Light frame (≈20 / truck)</t>
  </si>
  <si>
    <t>Cane</t>
  </si>
  <si>
    <t>Very small (≈40 / truck)</t>
  </si>
  <si>
    <t>Nebulizer</t>
  </si>
  <si>
    <t>Total</t>
  </si>
  <si>
    <t>Your trips bias correctly:</t>
  </si>
  <si>
    <r>
      <t xml:space="preserve">R1 handles </t>
    </r>
    <r>
      <rPr>
        <b/>
        <sz val="12"/>
        <color theme="1"/>
        <rFont val="Aptos Narrow"/>
        <family val="2"/>
        <scheme val="minor"/>
      </rPr>
      <t>North/East/Midtown</t>
    </r>
  </si>
  <si>
    <r>
      <t xml:space="preserve">R2 handles </t>
    </r>
    <r>
      <rPr>
        <b/>
        <sz val="12"/>
        <color theme="1"/>
        <rFont val="Aptos Narrow"/>
        <family val="2"/>
        <scheme val="minor"/>
      </rPr>
      <t>South/West/Suburbs</t>
    </r>
  </si>
  <si>
    <t>Suburbs has the highest supply → highest trips</t>
  </si>
  <si>
    <t>From Warehouse to Zones</t>
  </si>
  <si>
    <t>Trips_per_week</t>
  </si>
  <si>
    <t>Units_per_trip</t>
  </si>
  <si>
    <t>Cap_WZ_units</t>
  </si>
  <si>
    <t>Trips per week based off demand table same methodolgy as C6</t>
  </si>
  <si>
    <t>Type</t>
  </si>
  <si>
    <t>γₖ (Multiplier)</t>
  </si>
  <si>
    <t>Intuition</t>
  </si>
  <si>
    <t>Heavy, bulky</t>
  </si>
  <si>
    <t>Very light</t>
  </si>
  <si>
    <t>Baseline</t>
  </si>
  <si>
    <t>Very heavy / large</t>
  </si>
  <si>
    <t>Light but boxy</t>
  </si>
  <si>
    <t>tota</t>
  </si>
  <si>
    <t>To Warehouse (units/week)</t>
  </si>
  <si>
    <t/>
  </si>
  <si>
    <t>Demand Served from Warehouse (units/week)</t>
  </si>
  <si>
    <t>From Warehouse (demand served)</t>
  </si>
  <si>
    <t>Cost Component</t>
  </si>
  <si>
    <t>Weekly Cost ($)</t>
  </si>
  <si>
    <t>Zone → Refurb</t>
  </si>
  <si>
    <t>Refurb → Warehouse</t>
  </si>
  <si>
    <t>Warehouse → Zones</t>
  </si>
  <si>
    <t>Fixed Facility Costs</t>
  </si>
  <si>
    <t>Total Weekly Cost</t>
  </si>
  <si>
    <t>Disposal</t>
  </si>
  <si>
    <t>$0 (base case)</t>
  </si>
  <si>
    <t>`</t>
  </si>
  <si>
    <t>R1_Dist</t>
  </si>
  <si>
    <t>R2_Dist</t>
  </si>
  <si>
    <t>R1_Level</t>
  </si>
  <si>
    <t>R2_Level</t>
  </si>
  <si>
    <t>Refurb</t>
  </si>
  <si>
    <t>Dist_to_W1</t>
  </si>
  <si>
    <t>Level</t>
  </si>
  <si>
    <t>Dist</t>
  </si>
  <si>
    <t>Rate</t>
  </si>
  <si>
    <t>Gamma</t>
  </si>
  <si>
    <t>R1_Cap</t>
  </si>
  <si>
    <t>R2_Cap</t>
  </si>
  <si>
    <t>Cap_WZ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</si>
</sst>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3" tint="0.499984740745262"/>
      <name val="Aptos Narrow"/>
      <family val="2"/>
      <scheme val="minor"/>
    </font>
    <font>
      <sz val="16"/>
      <color theme="9"/>
      <name val="Aptos Narrow"/>
      <family val="2"/>
      <scheme val="minor"/>
    </font>
    <font>
      <sz val="22"/>
      <color theme="4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3" fontId="1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0" fontId="0" fillId="0" borderId="7" xfId="0" applyBorder="1"/>
    <xf numFmtId="0" fontId="0" fillId="0" borderId="0" xfId="0" applyAlignment="1">
      <alignment wrapText="1"/>
    </xf>
    <xf numFmtId="0" fontId="8" fillId="0" borderId="1" xfId="0" applyFont="1" applyBorder="1"/>
    <xf numFmtId="3" fontId="1" fillId="0" borderId="0" xfId="0" applyNumberFormat="1" applyFont="1"/>
    <xf numFmtId="0" fontId="0" fillId="0" borderId="0" xfId="0" quotePrefix="1"/>
    <xf numFmtId="6" fontId="0" fillId="0" borderId="1" xfId="0" applyNumberFormat="1" applyBorder="1"/>
    <xf numFmtId="6" fontId="1" fillId="0" borderId="1" xfId="0" applyNumberFormat="1" applyFont="1" applyBorder="1"/>
    <xf numFmtId="0" fontId="9" fillId="0" borderId="1" xfId="0" applyFont="1" applyBorder="1"/>
    <xf numFmtId="0" fontId="10" fillId="0" borderId="1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8" fillId="0" borderId="3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6AF2-9218-E640-9494-3B99FE2F5BD1}">
  <dimension ref="A1:G8"/>
  <sheetViews>
    <sheetView workbookViewId="0">
      <selection activeCell="D25" sqref="D25"/>
    </sheetView>
  </sheetViews>
  <sheetFormatPr baseColWidth="10" defaultRowHeight="16" x14ac:dyDescent="0.2"/>
  <sheetData>
    <row r="1" spans="1:7" x14ac:dyDescent="0.2">
      <c r="A1" s="2" t="s">
        <v>1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/>
    </row>
    <row r="2" spans="1:7" x14ac:dyDescent="0.2">
      <c r="A2" s="2" t="s">
        <v>2</v>
      </c>
      <c r="B2" s="2">
        <v>41</v>
      </c>
      <c r="C2" s="2">
        <v>26</v>
      </c>
      <c r="D2" s="2">
        <v>49</v>
      </c>
      <c r="E2" s="2">
        <v>24</v>
      </c>
      <c r="F2" s="2">
        <v>18</v>
      </c>
      <c r="G2" s="3"/>
    </row>
    <row r="3" spans="1:7" x14ac:dyDescent="0.2">
      <c r="A3" s="2" t="s">
        <v>3</v>
      </c>
      <c r="B3" s="2">
        <v>26</v>
      </c>
      <c r="C3" s="2">
        <v>44</v>
      </c>
      <c r="D3" s="2">
        <v>44</v>
      </c>
      <c r="E3" s="2">
        <v>10</v>
      </c>
      <c r="F3" s="2">
        <v>48</v>
      </c>
      <c r="G3" s="3"/>
    </row>
    <row r="4" spans="1:7" x14ac:dyDescent="0.2">
      <c r="A4" s="2" t="s">
        <v>4</v>
      </c>
      <c r="B4" s="2">
        <v>24</v>
      </c>
      <c r="C4" s="2">
        <v>34</v>
      </c>
      <c r="D4" s="2">
        <v>36</v>
      </c>
      <c r="E4" s="2">
        <v>10</v>
      </c>
      <c r="F4" s="2">
        <v>32</v>
      </c>
      <c r="G4" s="3"/>
    </row>
    <row r="5" spans="1:7" x14ac:dyDescent="0.2">
      <c r="A5" s="2" t="s">
        <v>5</v>
      </c>
      <c r="B5" s="2">
        <v>24</v>
      </c>
      <c r="C5" s="2">
        <v>44</v>
      </c>
      <c r="D5" s="2">
        <v>44</v>
      </c>
      <c r="E5" s="2">
        <v>10</v>
      </c>
      <c r="F5" s="2">
        <v>48</v>
      </c>
      <c r="G5" s="3"/>
    </row>
    <row r="6" spans="1:7" x14ac:dyDescent="0.2">
      <c r="A6" s="2" t="s">
        <v>6</v>
      </c>
      <c r="B6" s="2">
        <v>48</v>
      </c>
      <c r="C6" s="2">
        <v>14</v>
      </c>
      <c r="D6" s="2">
        <v>19</v>
      </c>
      <c r="E6" s="2">
        <v>36</v>
      </c>
      <c r="F6" s="2">
        <v>14</v>
      </c>
      <c r="G6" s="3"/>
    </row>
    <row r="7" spans="1:7" x14ac:dyDescent="0.2">
      <c r="A7" s="2" t="s">
        <v>7</v>
      </c>
      <c r="B7" s="2">
        <v>57</v>
      </c>
      <c r="C7" s="2">
        <v>38</v>
      </c>
      <c r="D7" s="2">
        <v>68</v>
      </c>
      <c r="E7" s="2">
        <v>30</v>
      </c>
      <c r="F7" s="2">
        <v>40</v>
      </c>
      <c r="G7" s="3"/>
    </row>
    <row r="8" spans="1:7" x14ac:dyDescent="0.2">
      <c r="A8" s="2"/>
      <c r="B8" s="3"/>
      <c r="C8" s="3"/>
      <c r="D8" s="3"/>
      <c r="E8" s="3"/>
      <c r="F8" s="3"/>
      <c r="G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25CA-4D37-7542-83F3-F14243089DBB}">
  <dimension ref="A1:F7"/>
  <sheetViews>
    <sheetView workbookViewId="0">
      <selection activeCell="D10" sqref="D10"/>
    </sheetView>
  </sheetViews>
  <sheetFormatPr baseColWidth="10" defaultRowHeight="16" x14ac:dyDescent="0.2"/>
  <sheetData>
    <row r="1" spans="1:6" x14ac:dyDescent="0.2">
      <c r="A1" s="2" t="s">
        <v>1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x14ac:dyDescent="0.2">
      <c r="A2" s="2" t="s">
        <v>2</v>
      </c>
      <c r="B2" s="2">
        <v>20</v>
      </c>
      <c r="C2" s="2">
        <v>13</v>
      </c>
      <c r="D2" s="2">
        <v>24</v>
      </c>
      <c r="E2" s="2">
        <v>12</v>
      </c>
      <c r="F2" s="2">
        <v>9</v>
      </c>
    </row>
    <row r="3" spans="1:6" x14ac:dyDescent="0.2">
      <c r="A3" s="2" t="s">
        <v>3</v>
      </c>
      <c r="B3" s="2">
        <v>21</v>
      </c>
      <c r="C3" s="2">
        <v>35</v>
      </c>
      <c r="D3" s="2">
        <v>35</v>
      </c>
      <c r="E3" s="2">
        <v>8</v>
      </c>
      <c r="F3" s="2">
        <v>38</v>
      </c>
    </row>
    <row r="4" spans="1:6" x14ac:dyDescent="0.2">
      <c r="A4" s="2" t="s">
        <v>4</v>
      </c>
      <c r="B4" s="2">
        <v>17</v>
      </c>
      <c r="C4" s="2">
        <v>24</v>
      </c>
      <c r="D4" s="2">
        <v>25</v>
      </c>
      <c r="E4" s="2">
        <v>7</v>
      </c>
      <c r="F4" s="2">
        <v>22</v>
      </c>
    </row>
    <row r="5" spans="1:6" x14ac:dyDescent="0.2">
      <c r="A5" s="2" t="s">
        <v>5</v>
      </c>
      <c r="B5" s="2">
        <v>19</v>
      </c>
      <c r="C5" s="2">
        <v>35</v>
      </c>
      <c r="D5" s="2">
        <v>35</v>
      </c>
      <c r="E5" s="2">
        <v>8</v>
      </c>
      <c r="F5" s="2">
        <v>38</v>
      </c>
    </row>
    <row r="6" spans="1:6" x14ac:dyDescent="0.2">
      <c r="A6" s="2" t="s">
        <v>6</v>
      </c>
      <c r="B6" s="2">
        <v>19</v>
      </c>
      <c r="C6" s="2">
        <v>6</v>
      </c>
      <c r="D6" s="2">
        <v>8</v>
      </c>
      <c r="E6" s="2">
        <v>14</v>
      </c>
      <c r="F6" s="2">
        <v>6</v>
      </c>
    </row>
    <row r="7" spans="1:6" x14ac:dyDescent="0.2">
      <c r="A7" s="2" t="s">
        <v>7</v>
      </c>
      <c r="B7" s="2">
        <v>28</v>
      </c>
      <c r="C7" s="2">
        <v>19</v>
      </c>
      <c r="D7" s="2">
        <v>34</v>
      </c>
      <c r="E7" s="2">
        <v>15</v>
      </c>
      <c r="F7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E9E3B-4650-0149-84DF-E28F38EC3609}">
  <dimension ref="A1:E7"/>
  <sheetViews>
    <sheetView tabSelected="1" workbookViewId="0">
      <selection activeCell="E15" sqref="E15"/>
    </sheetView>
  </sheetViews>
  <sheetFormatPr baseColWidth="10" defaultRowHeight="16" x14ac:dyDescent="0.2"/>
  <sheetData>
    <row r="1" spans="1:5" x14ac:dyDescent="0.2">
      <c r="A1" s="2" t="s">
        <v>1</v>
      </c>
      <c r="B1" s="2" t="s">
        <v>140</v>
      </c>
      <c r="C1" s="2" t="s">
        <v>141</v>
      </c>
      <c r="D1" s="2" t="s">
        <v>142</v>
      </c>
      <c r="E1" s="2" t="s">
        <v>143</v>
      </c>
    </row>
    <row r="2" spans="1:5" x14ac:dyDescent="0.2">
      <c r="A2" s="14" t="s">
        <v>2</v>
      </c>
      <c r="B2" s="14">
        <v>4.7</v>
      </c>
      <c r="C2" s="14">
        <v>23.4</v>
      </c>
      <c r="D2" s="2" t="s">
        <v>76</v>
      </c>
      <c r="E2" s="2" t="s">
        <v>76</v>
      </c>
    </row>
    <row r="3" spans="1:5" x14ac:dyDescent="0.2">
      <c r="A3" s="14" t="s">
        <v>3</v>
      </c>
      <c r="B3" s="14">
        <v>21.7</v>
      </c>
      <c r="C3" s="14">
        <v>17.600000000000001</v>
      </c>
      <c r="D3" s="2" t="s">
        <v>76</v>
      </c>
      <c r="E3" s="2" t="s">
        <v>77</v>
      </c>
    </row>
    <row r="4" spans="1:5" x14ac:dyDescent="0.2">
      <c r="A4" s="14" t="s">
        <v>4</v>
      </c>
      <c r="B4" s="14">
        <v>7.4</v>
      </c>
      <c r="C4" s="14">
        <v>24.3</v>
      </c>
      <c r="D4" s="2" t="s">
        <v>76</v>
      </c>
      <c r="E4" s="2" t="s">
        <v>76</v>
      </c>
    </row>
    <row r="5" spans="1:5" x14ac:dyDescent="0.2">
      <c r="A5" s="14" t="s">
        <v>5</v>
      </c>
      <c r="B5" s="14">
        <v>13.7</v>
      </c>
      <c r="C5" s="14">
        <v>9.8000000000000007</v>
      </c>
      <c r="D5" s="2" t="s">
        <v>76</v>
      </c>
      <c r="E5" s="2" t="s">
        <v>77</v>
      </c>
    </row>
    <row r="6" spans="1:5" x14ac:dyDescent="0.2">
      <c r="A6" s="14" t="s">
        <v>6</v>
      </c>
      <c r="B6" s="14">
        <v>6.1</v>
      </c>
      <c r="C6" s="14">
        <v>14.1</v>
      </c>
      <c r="D6" s="2" t="s">
        <v>75</v>
      </c>
      <c r="E6" s="2" t="s">
        <v>75</v>
      </c>
    </row>
    <row r="7" spans="1:5" x14ac:dyDescent="0.2">
      <c r="A7" s="14" t="s">
        <v>7</v>
      </c>
      <c r="B7" s="14">
        <v>6</v>
      </c>
      <c r="C7" s="14">
        <v>31.6</v>
      </c>
      <c r="D7" s="2" t="s">
        <v>77</v>
      </c>
      <c r="E7" s="2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7B25-2849-B546-BA38-9A3853022F4C}">
  <dimension ref="A1:C3"/>
  <sheetViews>
    <sheetView workbookViewId="0">
      <selection activeCell="E6" sqref="E6"/>
    </sheetView>
  </sheetViews>
  <sheetFormatPr baseColWidth="10" defaultRowHeight="16" x14ac:dyDescent="0.2"/>
  <sheetData>
    <row r="1" spans="1:3" x14ac:dyDescent="0.2">
      <c r="A1" s="14" t="s">
        <v>144</v>
      </c>
      <c r="B1" s="14" t="s">
        <v>145</v>
      </c>
      <c r="C1" s="14" t="s">
        <v>146</v>
      </c>
    </row>
    <row r="2" spans="1:3" x14ac:dyDescent="0.2">
      <c r="A2" s="14" t="s">
        <v>73</v>
      </c>
      <c r="B2" s="14">
        <v>19.399999999999999</v>
      </c>
      <c r="C2" s="14" t="s">
        <v>76</v>
      </c>
    </row>
    <row r="3" spans="1:3" x14ac:dyDescent="0.2">
      <c r="A3" s="14" t="s">
        <v>74</v>
      </c>
      <c r="B3" s="14">
        <v>33.4</v>
      </c>
      <c r="C3" s="14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4F4F-CCFA-7B49-A5AF-A2632CDE4C59}">
  <dimension ref="A1:C7"/>
  <sheetViews>
    <sheetView workbookViewId="0">
      <selection activeCell="C6" sqref="C6"/>
    </sheetView>
  </sheetViews>
  <sheetFormatPr baseColWidth="10" defaultRowHeight="16" x14ac:dyDescent="0.2"/>
  <sheetData>
    <row r="1" spans="1:3" x14ac:dyDescent="0.2">
      <c r="A1" s="2" t="s">
        <v>1</v>
      </c>
      <c r="B1" s="2" t="s">
        <v>147</v>
      </c>
      <c r="C1" s="2" t="s">
        <v>146</v>
      </c>
    </row>
    <row r="2" spans="1:3" x14ac:dyDescent="0.2">
      <c r="A2" s="14" t="s">
        <v>2</v>
      </c>
      <c r="B2" s="2">
        <v>11.7</v>
      </c>
      <c r="C2" s="2" t="s">
        <v>76</v>
      </c>
    </row>
    <row r="3" spans="1:3" x14ac:dyDescent="0.2">
      <c r="A3" s="14" t="s">
        <v>3</v>
      </c>
      <c r="B3" s="2">
        <v>12.4</v>
      </c>
      <c r="C3" s="2" t="s">
        <v>76</v>
      </c>
    </row>
    <row r="4" spans="1:3" x14ac:dyDescent="0.2">
      <c r="A4" s="14" t="s">
        <v>4</v>
      </c>
      <c r="B4" s="2">
        <v>6.4</v>
      </c>
      <c r="C4" s="2" t="s">
        <v>76</v>
      </c>
    </row>
    <row r="5" spans="1:3" x14ac:dyDescent="0.2">
      <c r="A5" s="14" t="s">
        <v>5</v>
      </c>
      <c r="B5" s="2">
        <v>5.8</v>
      </c>
      <c r="C5" s="2" t="s">
        <v>76</v>
      </c>
    </row>
    <row r="6" spans="1:3" x14ac:dyDescent="0.2">
      <c r="A6" s="14" t="s">
        <v>6</v>
      </c>
      <c r="B6" s="2">
        <v>3.4</v>
      </c>
      <c r="C6" s="2" t="s">
        <v>75</v>
      </c>
    </row>
    <row r="7" spans="1:3" x14ac:dyDescent="0.2">
      <c r="A7" s="14" t="s">
        <v>7</v>
      </c>
      <c r="B7" s="2">
        <v>17.399999999999999</v>
      </c>
      <c r="C7" s="2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D22F-4B65-2D42-B360-0373619A985A}">
  <dimension ref="A1:B4"/>
  <sheetViews>
    <sheetView workbookViewId="0">
      <selection activeCell="H26" sqref="H26"/>
    </sheetView>
  </sheetViews>
  <sheetFormatPr baseColWidth="10" defaultRowHeight="16" x14ac:dyDescent="0.2"/>
  <sheetData>
    <row r="1" spans="1:2" x14ac:dyDescent="0.2">
      <c r="A1" s="9" t="s">
        <v>146</v>
      </c>
      <c r="B1" s="9" t="s">
        <v>148</v>
      </c>
    </row>
    <row r="2" spans="1:2" x14ac:dyDescent="0.2">
      <c r="A2" s="2" t="s">
        <v>75</v>
      </c>
      <c r="B2" s="2">
        <v>2.2000000000000002</v>
      </c>
    </row>
    <row r="3" spans="1:2" x14ac:dyDescent="0.2">
      <c r="A3" s="2" t="s">
        <v>76</v>
      </c>
      <c r="B3" s="2">
        <v>1.8</v>
      </c>
    </row>
    <row r="4" spans="1:2" x14ac:dyDescent="0.2">
      <c r="A4" s="2" t="s">
        <v>77</v>
      </c>
      <c r="B4" s="2">
        <v>1.5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941B8-63C8-3C46-A5C4-4CE240A99970}">
  <dimension ref="A1:B6"/>
  <sheetViews>
    <sheetView workbookViewId="0">
      <selection activeCell="E4" sqref="E4"/>
    </sheetView>
  </sheetViews>
  <sheetFormatPr baseColWidth="10" defaultRowHeight="16" x14ac:dyDescent="0.2"/>
  <sheetData>
    <row r="1" spans="1:2" x14ac:dyDescent="0.2">
      <c r="A1" s="9" t="s">
        <v>117</v>
      </c>
      <c r="B1" s="9" t="s">
        <v>149</v>
      </c>
    </row>
    <row r="2" spans="1:2" x14ac:dyDescent="0.2">
      <c r="A2" s="15" t="s">
        <v>100</v>
      </c>
      <c r="B2" s="15">
        <v>1.2</v>
      </c>
    </row>
    <row r="3" spans="1:2" x14ac:dyDescent="0.2">
      <c r="A3" s="15" t="s">
        <v>104</v>
      </c>
      <c r="B3" s="15">
        <v>0.5</v>
      </c>
    </row>
    <row r="4" spans="1:2" x14ac:dyDescent="0.2">
      <c r="A4" s="15" t="s">
        <v>102</v>
      </c>
      <c r="B4" s="15">
        <v>1</v>
      </c>
    </row>
    <row r="5" spans="1:2" x14ac:dyDescent="0.2">
      <c r="A5" s="15" t="s">
        <v>98</v>
      </c>
      <c r="B5" s="15">
        <v>1.5</v>
      </c>
    </row>
    <row r="6" spans="1:2" x14ac:dyDescent="0.2">
      <c r="A6" s="15" t="s">
        <v>106</v>
      </c>
      <c r="B6" s="15">
        <v>0.7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336FE-73A0-264E-A9FF-AD3507D6FA55}">
  <dimension ref="A1:C7"/>
  <sheetViews>
    <sheetView workbookViewId="0">
      <selection sqref="A1:C7"/>
    </sheetView>
  </sheetViews>
  <sheetFormatPr baseColWidth="10" defaultRowHeight="16" x14ac:dyDescent="0.2"/>
  <sheetData>
    <row r="1" spans="1:3" x14ac:dyDescent="0.2">
      <c r="A1" s="2" t="s">
        <v>1</v>
      </c>
      <c r="B1" s="2" t="s">
        <v>150</v>
      </c>
      <c r="C1" s="2" t="s">
        <v>151</v>
      </c>
    </row>
    <row r="2" spans="1:3" x14ac:dyDescent="0.2">
      <c r="A2" s="2" t="s">
        <v>2</v>
      </c>
      <c r="B2" s="2">
        <v>120</v>
      </c>
      <c r="C2" s="2">
        <v>40</v>
      </c>
    </row>
    <row r="3" spans="1:3" x14ac:dyDescent="0.2">
      <c r="A3" s="2" t="s">
        <v>3</v>
      </c>
      <c r="B3" s="2">
        <v>40</v>
      </c>
      <c r="C3" s="2">
        <v>140</v>
      </c>
    </row>
    <row r="4" spans="1:3" x14ac:dyDescent="0.2">
      <c r="A4" s="2" t="s">
        <v>4</v>
      </c>
      <c r="B4" s="2">
        <v>100</v>
      </c>
      <c r="C4" s="2">
        <v>40</v>
      </c>
    </row>
    <row r="5" spans="1:3" x14ac:dyDescent="0.2">
      <c r="A5" s="2" t="s">
        <v>5</v>
      </c>
      <c r="B5" s="2">
        <v>40</v>
      </c>
      <c r="C5" s="2">
        <v>140</v>
      </c>
    </row>
    <row r="6" spans="1:3" x14ac:dyDescent="0.2">
      <c r="A6" s="2" t="s">
        <v>6</v>
      </c>
      <c r="B6" s="2">
        <v>100</v>
      </c>
      <c r="C6" s="2">
        <v>40</v>
      </c>
    </row>
    <row r="7" spans="1:3" x14ac:dyDescent="0.2">
      <c r="A7" s="2" t="s">
        <v>7</v>
      </c>
      <c r="B7" s="2">
        <v>80</v>
      </c>
      <c r="C7" s="2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17C2-2037-1843-8B7F-367C816BDCDC}">
  <dimension ref="A1:B7"/>
  <sheetViews>
    <sheetView workbookViewId="0">
      <selection activeCell="D15" sqref="D15"/>
    </sheetView>
  </sheetViews>
  <sheetFormatPr baseColWidth="10" defaultRowHeight="16" x14ac:dyDescent="0.2"/>
  <sheetData>
    <row r="1" spans="1:2" x14ac:dyDescent="0.2">
      <c r="A1" s="2" t="s">
        <v>1</v>
      </c>
      <c r="B1" s="2" t="s">
        <v>152</v>
      </c>
    </row>
    <row r="2" spans="1:2" x14ac:dyDescent="0.2">
      <c r="A2" s="2" t="s">
        <v>2</v>
      </c>
      <c r="B2" s="2">
        <v>80</v>
      </c>
    </row>
    <row r="3" spans="1:2" x14ac:dyDescent="0.2">
      <c r="A3" s="2" t="s">
        <v>3</v>
      </c>
      <c r="B3" s="2">
        <v>140</v>
      </c>
    </row>
    <row r="4" spans="1:2" x14ac:dyDescent="0.2">
      <c r="A4" s="2" t="s">
        <v>4</v>
      </c>
      <c r="B4" s="2">
        <v>100</v>
      </c>
    </row>
    <row r="5" spans="1:2" x14ac:dyDescent="0.2">
      <c r="A5" s="2" t="s">
        <v>5</v>
      </c>
      <c r="B5" s="2">
        <v>140</v>
      </c>
    </row>
    <row r="6" spans="1:2" x14ac:dyDescent="0.2">
      <c r="A6" s="2" t="s">
        <v>6</v>
      </c>
      <c r="B6" s="2">
        <v>60</v>
      </c>
    </row>
    <row r="7" spans="1:2" x14ac:dyDescent="0.2">
      <c r="A7" s="2" t="s">
        <v>7</v>
      </c>
      <c r="B7" s="2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40C38-E1FF-EF47-A915-D30943189216}">
  <dimension ref="C7:P63"/>
  <sheetViews>
    <sheetView topLeftCell="A11" zoomScale="64" zoomScaleNormal="100" workbookViewId="0">
      <selection activeCell="G55" sqref="G55:G60"/>
    </sheetView>
  </sheetViews>
  <sheetFormatPr baseColWidth="10" defaultRowHeight="16" x14ac:dyDescent="0.2"/>
  <cols>
    <col min="4" max="4" width="22.6640625" customWidth="1"/>
    <col min="5" max="5" width="0.33203125" customWidth="1"/>
  </cols>
  <sheetData>
    <row r="7" spans="3:16" x14ac:dyDescent="0.2">
      <c r="F7" s="20"/>
      <c r="G7" s="20"/>
      <c r="H7" s="20"/>
      <c r="I7" s="20"/>
    </row>
    <row r="8" spans="3:16" x14ac:dyDescent="0.2">
      <c r="F8" s="20"/>
      <c r="G8" s="20"/>
      <c r="H8" s="20"/>
      <c r="I8" s="20"/>
    </row>
    <row r="9" spans="3:16" x14ac:dyDescent="0.2">
      <c r="F9" s="20"/>
      <c r="G9" s="20"/>
      <c r="H9" s="20"/>
      <c r="I9" s="20"/>
    </row>
    <row r="10" spans="3:16" x14ac:dyDescent="0.2">
      <c r="C10" t="s">
        <v>139</v>
      </c>
    </row>
    <row r="13" spans="3:16" ht="22" x14ac:dyDescent="0.3">
      <c r="F13" s="3" t="s">
        <v>1</v>
      </c>
      <c r="G13" s="3" t="s">
        <v>45</v>
      </c>
      <c r="H13" s="3" t="s">
        <v>46</v>
      </c>
      <c r="J13" s="21"/>
      <c r="K13" s="22"/>
      <c r="L13" s="22"/>
      <c r="M13" s="22"/>
      <c r="N13" s="22"/>
      <c r="O13" s="22"/>
      <c r="P13" s="22"/>
    </row>
    <row r="14" spans="3:16" x14ac:dyDescent="0.2">
      <c r="F14" s="2" t="s">
        <v>2</v>
      </c>
      <c r="G14" s="2">
        <v>33.89</v>
      </c>
      <c r="H14" s="2">
        <v>-84.34</v>
      </c>
    </row>
    <row r="15" spans="3:16" x14ac:dyDescent="0.2">
      <c r="F15" s="2" t="s">
        <v>3</v>
      </c>
      <c r="G15" s="2">
        <v>33.65</v>
      </c>
      <c r="H15" s="2">
        <v>-84.41</v>
      </c>
    </row>
    <row r="16" spans="3:16" x14ac:dyDescent="0.2">
      <c r="F16" s="2" t="s">
        <v>4</v>
      </c>
      <c r="G16" s="2">
        <v>33.75</v>
      </c>
      <c r="H16" s="2">
        <v>-84.3</v>
      </c>
    </row>
    <row r="17" spans="6:12" x14ac:dyDescent="0.2">
      <c r="F17" s="2" t="s">
        <v>5</v>
      </c>
      <c r="G17" s="2">
        <v>33.75</v>
      </c>
      <c r="H17" s="2">
        <v>-84.48</v>
      </c>
    </row>
    <row r="18" spans="6:12" x14ac:dyDescent="0.2">
      <c r="F18" s="2" t="s">
        <v>6</v>
      </c>
      <c r="G18" s="2">
        <v>33.78</v>
      </c>
      <c r="H18" s="2">
        <v>-84.39</v>
      </c>
    </row>
    <row r="19" spans="6:12" x14ac:dyDescent="0.2">
      <c r="F19" s="2" t="s">
        <v>7</v>
      </c>
      <c r="G19" s="2">
        <v>33.93</v>
      </c>
      <c r="H19" s="2">
        <v>-84.26</v>
      </c>
    </row>
    <row r="21" spans="6:12" x14ac:dyDescent="0.2">
      <c r="F21" s="23"/>
      <c r="G21" s="23"/>
      <c r="H21" s="23"/>
      <c r="I21" s="23"/>
      <c r="J21" s="23"/>
      <c r="K21" s="23"/>
      <c r="L21" s="23"/>
    </row>
    <row r="22" spans="6:12" x14ac:dyDescent="0.2">
      <c r="F22" s="5" t="s">
        <v>47</v>
      </c>
      <c r="G22" s="3" t="s">
        <v>45</v>
      </c>
      <c r="H22" s="3" t="s">
        <v>46</v>
      </c>
      <c r="I22" s="3" t="s">
        <v>48</v>
      </c>
    </row>
    <row r="23" spans="6:12" x14ac:dyDescent="0.2">
      <c r="F23" s="3" t="s">
        <v>49</v>
      </c>
      <c r="G23" s="2">
        <v>33.9</v>
      </c>
      <c r="H23" s="2">
        <v>-84.27</v>
      </c>
      <c r="I23" s="2" t="s">
        <v>50</v>
      </c>
    </row>
    <row r="24" spans="6:12" x14ac:dyDescent="0.2">
      <c r="F24" s="3" t="s">
        <v>51</v>
      </c>
      <c r="G24" s="2">
        <v>33.814999999999998</v>
      </c>
      <c r="H24" s="2">
        <v>-84.635000000000005</v>
      </c>
      <c r="I24" s="2" t="s">
        <v>52</v>
      </c>
    </row>
    <row r="25" spans="6:12" x14ac:dyDescent="0.2">
      <c r="F25" s="2"/>
      <c r="G25" s="2"/>
      <c r="H25" s="2"/>
      <c r="I25" s="2"/>
    </row>
    <row r="26" spans="6:12" x14ac:dyDescent="0.2">
      <c r="F26" s="6" t="s">
        <v>53</v>
      </c>
      <c r="G26" s="3" t="s">
        <v>45</v>
      </c>
      <c r="H26" s="3" t="s">
        <v>46</v>
      </c>
      <c r="I26" s="3" t="s">
        <v>48</v>
      </c>
    </row>
    <row r="27" spans="6:12" x14ac:dyDescent="0.2">
      <c r="F27" s="3" t="s">
        <v>54</v>
      </c>
      <c r="G27" s="2">
        <v>33.755000000000003</v>
      </c>
      <c r="H27" s="2">
        <v>-84.39</v>
      </c>
      <c r="I27" s="2" t="s">
        <v>55</v>
      </c>
    </row>
    <row r="31" spans="6:12" x14ac:dyDescent="0.2">
      <c r="F31" s="24" t="s">
        <v>86</v>
      </c>
      <c r="G31" s="16"/>
      <c r="H31" s="16"/>
      <c r="I31" s="16"/>
      <c r="J31" s="16"/>
      <c r="K31" s="16"/>
      <c r="L31" s="16"/>
    </row>
    <row r="32" spans="6:12" x14ac:dyDescent="0.2">
      <c r="F32" s="25" t="s">
        <v>44</v>
      </c>
      <c r="G32" s="25"/>
      <c r="H32" s="25"/>
      <c r="I32" s="25"/>
      <c r="J32" s="25"/>
      <c r="K32" s="25"/>
      <c r="L32" s="25"/>
    </row>
    <row r="33" spans="6:12" x14ac:dyDescent="0.2">
      <c r="F33" s="3" t="s">
        <v>43</v>
      </c>
      <c r="G33" s="3" t="s">
        <v>2</v>
      </c>
      <c r="H33" s="3" t="s">
        <v>3</v>
      </c>
      <c r="I33" s="3" t="s">
        <v>4</v>
      </c>
      <c r="J33" s="3" t="s">
        <v>5</v>
      </c>
      <c r="K33" s="3" t="s">
        <v>6</v>
      </c>
      <c r="L33" s="3" t="s">
        <v>7</v>
      </c>
    </row>
    <row r="34" spans="6:12" x14ac:dyDescent="0.2">
      <c r="F34" s="3" t="s">
        <v>2</v>
      </c>
      <c r="G34" s="2">
        <v>0</v>
      </c>
      <c r="H34" s="2">
        <v>17.399999999999999</v>
      </c>
      <c r="I34" s="2">
        <v>10.6</v>
      </c>
      <c r="J34" s="2">
        <v>12</v>
      </c>
      <c r="K34" s="2">
        <v>7.9</v>
      </c>
      <c r="L34" s="2">
        <v>8.5</v>
      </c>
    </row>
    <row r="35" spans="6:12" x14ac:dyDescent="0.2">
      <c r="F35" s="3" t="s">
        <v>3</v>
      </c>
      <c r="G35" s="2">
        <v>17.399999999999999</v>
      </c>
      <c r="H35" s="2">
        <v>0</v>
      </c>
      <c r="I35" s="2">
        <v>14.9</v>
      </c>
      <c r="J35" s="2">
        <v>10.199999999999999</v>
      </c>
      <c r="K35" s="2">
        <v>9.6999999999999993</v>
      </c>
      <c r="L35" s="2">
        <v>26.8</v>
      </c>
    </row>
    <row r="36" spans="6:12" x14ac:dyDescent="0.2">
      <c r="F36" s="3" t="s">
        <v>4</v>
      </c>
      <c r="G36" s="2">
        <v>10.6</v>
      </c>
      <c r="H36" s="2">
        <v>14.9</v>
      </c>
      <c r="I36" s="2">
        <v>0</v>
      </c>
      <c r="J36" s="2">
        <v>12.4</v>
      </c>
      <c r="K36" s="2">
        <v>6.3</v>
      </c>
      <c r="L36" s="2">
        <v>11.6</v>
      </c>
    </row>
    <row r="37" spans="6:12" x14ac:dyDescent="0.2">
      <c r="F37" s="3" t="s">
        <v>5</v>
      </c>
      <c r="G37" s="2">
        <v>12</v>
      </c>
      <c r="H37" s="2">
        <v>10.199999999999999</v>
      </c>
      <c r="I37" s="2">
        <v>12.4</v>
      </c>
      <c r="J37" s="2">
        <v>0</v>
      </c>
      <c r="K37" s="2">
        <v>6.6</v>
      </c>
      <c r="L37" s="2">
        <v>20.399999999999999</v>
      </c>
    </row>
    <row r="38" spans="6:12" x14ac:dyDescent="0.2">
      <c r="F38" s="3" t="s">
        <v>6</v>
      </c>
      <c r="G38" s="2">
        <v>7.9</v>
      </c>
      <c r="H38" s="2">
        <v>9.6999999999999993</v>
      </c>
      <c r="I38" s="2">
        <v>6.3</v>
      </c>
      <c r="J38" s="2">
        <v>6.6</v>
      </c>
      <c r="K38" s="2">
        <v>0</v>
      </c>
      <c r="L38" s="2">
        <v>17</v>
      </c>
    </row>
    <row r="39" spans="6:12" x14ac:dyDescent="0.2">
      <c r="F39" s="3" t="s">
        <v>7</v>
      </c>
      <c r="G39" s="2">
        <v>8.5</v>
      </c>
      <c r="H39" s="2">
        <v>26.8</v>
      </c>
      <c r="I39" s="2">
        <v>11.6</v>
      </c>
      <c r="J39" s="2">
        <v>20.399999999999999</v>
      </c>
      <c r="K39" s="2">
        <v>17</v>
      </c>
      <c r="L39" s="2">
        <v>0</v>
      </c>
    </row>
    <row r="41" spans="6:12" x14ac:dyDescent="0.2">
      <c r="F41" s="16" t="s">
        <v>87</v>
      </c>
      <c r="G41" s="16"/>
      <c r="H41" s="16"/>
    </row>
    <row r="42" spans="6:12" x14ac:dyDescent="0.2">
      <c r="F42" s="3" t="s">
        <v>56</v>
      </c>
      <c r="G42" s="3" t="s">
        <v>57</v>
      </c>
      <c r="H42" s="3" t="s">
        <v>58</v>
      </c>
    </row>
    <row r="43" spans="6:12" x14ac:dyDescent="0.2">
      <c r="F43" s="3" t="s">
        <v>2</v>
      </c>
      <c r="G43" s="3">
        <v>4.7</v>
      </c>
      <c r="H43" s="2">
        <v>23.4</v>
      </c>
    </row>
    <row r="44" spans="6:12" x14ac:dyDescent="0.2">
      <c r="F44" s="3" t="s">
        <v>3</v>
      </c>
      <c r="G44" s="2">
        <v>21.7</v>
      </c>
      <c r="H44" s="3">
        <v>17.600000000000001</v>
      </c>
    </row>
    <row r="45" spans="6:12" x14ac:dyDescent="0.2">
      <c r="F45" s="3" t="s">
        <v>4</v>
      </c>
      <c r="G45" s="3">
        <v>7.4</v>
      </c>
      <c r="H45" s="2">
        <v>24.3</v>
      </c>
    </row>
    <row r="46" spans="6:12" x14ac:dyDescent="0.2">
      <c r="F46" s="3" t="s">
        <v>5</v>
      </c>
      <c r="G46" s="2">
        <v>13.7</v>
      </c>
      <c r="H46" s="3">
        <v>9.8000000000000007</v>
      </c>
    </row>
    <row r="47" spans="6:12" x14ac:dyDescent="0.2">
      <c r="F47" s="3" t="s">
        <v>6</v>
      </c>
      <c r="G47" s="3">
        <v>6.1</v>
      </c>
      <c r="H47" s="2">
        <v>14.1</v>
      </c>
    </row>
    <row r="48" spans="6:12" x14ac:dyDescent="0.2">
      <c r="F48" s="3" t="s">
        <v>7</v>
      </c>
      <c r="G48" s="3">
        <v>6</v>
      </c>
      <c r="H48" s="2">
        <v>31.6</v>
      </c>
    </row>
    <row r="49" spans="6:11" x14ac:dyDescent="0.2">
      <c r="F49" s="17" t="s">
        <v>88</v>
      </c>
      <c r="G49" s="17"/>
      <c r="H49" s="17"/>
    </row>
    <row r="50" spans="6:11" x14ac:dyDescent="0.2">
      <c r="F50" s="3" t="s">
        <v>59</v>
      </c>
      <c r="G50" s="3" t="s">
        <v>60</v>
      </c>
      <c r="H50" s="2"/>
    </row>
    <row r="51" spans="6:11" x14ac:dyDescent="0.2">
      <c r="F51" s="3" t="s">
        <v>57</v>
      </c>
      <c r="G51" s="3">
        <v>8.8000000000000007</v>
      </c>
      <c r="H51" s="2"/>
    </row>
    <row r="52" spans="6:11" x14ac:dyDescent="0.2">
      <c r="F52" s="3" t="s">
        <v>58</v>
      </c>
      <c r="G52" s="3">
        <v>15.2</v>
      </c>
      <c r="H52" s="2"/>
    </row>
    <row r="53" spans="6:11" x14ac:dyDescent="0.2">
      <c r="F53" s="18" t="s">
        <v>89</v>
      </c>
      <c r="G53" s="19"/>
    </row>
    <row r="54" spans="6:11" x14ac:dyDescent="0.2">
      <c r="F54" s="3" t="s">
        <v>61</v>
      </c>
      <c r="G54" s="3" t="s">
        <v>62</v>
      </c>
    </row>
    <row r="55" spans="6:11" x14ac:dyDescent="0.2">
      <c r="F55" s="3" t="s">
        <v>2</v>
      </c>
      <c r="G55" s="2">
        <v>11.7</v>
      </c>
    </row>
    <row r="56" spans="6:11" x14ac:dyDescent="0.2">
      <c r="F56" s="3" t="s">
        <v>3</v>
      </c>
      <c r="G56" s="2">
        <v>12.4</v>
      </c>
    </row>
    <row r="57" spans="6:11" x14ac:dyDescent="0.2">
      <c r="F57" s="3" t="s">
        <v>4</v>
      </c>
      <c r="G57" s="2">
        <v>6.4</v>
      </c>
      <c r="K57" s="3" t="s">
        <v>64</v>
      </c>
    </row>
    <row r="58" spans="6:11" x14ac:dyDescent="0.2">
      <c r="F58" s="3" t="s">
        <v>5</v>
      </c>
      <c r="G58" s="2">
        <v>5.8</v>
      </c>
      <c r="K58" s="2" t="s">
        <v>65</v>
      </c>
    </row>
    <row r="59" spans="6:11" x14ac:dyDescent="0.2">
      <c r="F59" s="3" t="s">
        <v>6</v>
      </c>
      <c r="G59" s="2">
        <v>3.4</v>
      </c>
      <c r="K59" s="2" t="s">
        <v>66</v>
      </c>
    </row>
    <row r="60" spans="6:11" x14ac:dyDescent="0.2">
      <c r="F60" s="3" t="s">
        <v>7</v>
      </c>
      <c r="G60" s="2">
        <v>17.399999999999999</v>
      </c>
      <c r="K60" s="2" t="s">
        <v>67</v>
      </c>
    </row>
    <row r="61" spans="6:11" x14ac:dyDescent="0.2">
      <c r="K61" s="2" t="s">
        <v>68</v>
      </c>
    </row>
    <row r="62" spans="6:11" x14ac:dyDescent="0.2">
      <c r="K62" s="2" t="s">
        <v>69</v>
      </c>
    </row>
    <row r="63" spans="6:11" x14ac:dyDescent="0.2">
      <c r="K63" s="2" t="s">
        <v>70</v>
      </c>
    </row>
  </sheetData>
  <mergeCells count="8">
    <mergeCell ref="F41:H41"/>
    <mergeCell ref="F49:H49"/>
    <mergeCell ref="F53:G53"/>
    <mergeCell ref="F7:I9"/>
    <mergeCell ref="J13:P13"/>
    <mergeCell ref="F21:L21"/>
    <mergeCell ref="F31:L31"/>
    <mergeCell ref="F32:L3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1DE53-C5E4-2340-A3DE-2901F68CECC3}">
  <dimension ref="D1:J31"/>
  <sheetViews>
    <sheetView zoomScale="75" workbookViewId="0">
      <selection activeCell="D27" sqref="D27:E31"/>
    </sheetView>
  </sheetViews>
  <sheetFormatPr baseColWidth="10" defaultRowHeight="16" x14ac:dyDescent="0.2"/>
  <cols>
    <col min="5" max="5" width="23.5" customWidth="1"/>
    <col min="6" max="6" width="30.1640625" customWidth="1"/>
    <col min="7" max="7" width="29.5" customWidth="1"/>
  </cols>
  <sheetData>
    <row r="1" spans="4:10" x14ac:dyDescent="0.2">
      <c r="D1" s="23" t="s">
        <v>63</v>
      </c>
      <c r="E1" s="23"/>
      <c r="F1" s="23"/>
      <c r="G1" s="23"/>
    </row>
    <row r="3" spans="4:10" x14ac:dyDescent="0.2">
      <c r="E3" s="23" t="s">
        <v>71</v>
      </c>
      <c r="F3" s="23"/>
    </row>
    <row r="4" spans="4:10" x14ac:dyDescent="0.2">
      <c r="D4" s="3" t="s">
        <v>56</v>
      </c>
      <c r="E4" s="3" t="s">
        <v>57</v>
      </c>
      <c r="F4" s="3" t="s">
        <v>58</v>
      </c>
      <c r="G4" s="3" t="s">
        <v>64</v>
      </c>
      <c r="I4" s="2" t="s">
        <v>79</v>
      </c>
      <c r="J4" s="2" t="s">
        <v>78</v>
      </c>
    </row>
    <row r="5" spans="4:10" x14ac:dyDescent="0.2">
      <c r="D5" s="3" t="s">
        <v>2</v>
      </c>
      <c r="E5" s="3">
        <v>8.5</v>
      </c>
      <c r="F5" s="2">
        <v>42.1</v>
      </c>
      <c r="G5" s="2" t="s">
        <v>65</v>
      </c>
      <c r="I5" s="2" t="s">
        <v>75</v>
      </c>
      <c r="J5" s="2">
        <v>2.2000000000000002</v>
      </c>
    </row>
    <row r="6" spans="4:10" x14ac:dyDescent="0.2">
      <c r="D6" s="3" t="s">
        <v>3</v>
      </c>
      <c r="E6" s="2">
        <v>39.1</v>
      </c>
      <c r="F6" s="3">
        <v>26.4</v>
      </c>
      <c r="G6" s="2" t="s">
        <v>66</v>
      </c>
      <c r="I6" s="2" t="s">
        <v>76</v>
      </c>
      <c r="J6" s="2">
        <v>1.8</v>
      </c>
    </row>
    <row r="7" spans="4:10" x14ac:dyDescent="0.2">
      <c r="D7" s="3" t="s">
        <v>4</v>
      </c>
      <c r="E7" s="3">
        <v>13.3</v>
      </c>
      <c r="F7" s="2">
        <v>43.7</v>
      </c>
      <c r="G7" s="2" t="s">
        <v>67</v>
      </c>
      <c r="I7" s="2" t="s">
        <v>77</v>
      </c>
      <c r="J7" s="2">
        <v>0.15</v>
      </c>
    </row>
    <row r="8" spans="4:10" x14ac:dyDescent="0.2">
      <c r="D8" s="3" t="s">
        <v>5</v>
      </c>
      <c r="E8" s="2">
        <v>24.7</v>
      </c>
      <c r="F8" s="3">
        <v>14.7</v>
      </c>
      <c r="G8" s="2" t="s">
        <v>68</v>
      </c>
    </row>
    <row r="9" spans="4:10" x14ac:dyDescent="0.2">
      <c r="D9" s="3" t="s">
        <v>6</v>
      </c>
      <c r="E9" s="3">
        <v>13.4</v>
      </c>
      <c r="F9" s="2">
        <v>31</v>
      </c>
      <c r="G9" s="2" t="s">
        <v>69</v>
      </c>
    </row>
    <row r="10" spans="4:10" x14ac:dyDescent="0.2">
      <c r="D10" s="3" t="s">
        <v>7</v>
      </c>
      <c r="E10" s="3">
        <v>9</v>
      </c>
      <c r="F10" s="2">
        <v>47.4</v>
      </c>
      <c r="G10" s="2" t="s">
        <v>70</v>
      </c>
    </row>
    <row r="13" spans="4:10" x14ac:dyDescent="0.2">
      <c r="D13" s="3" t="s">
        <v>59</v>
      </c>
      <c r="E13" s="3" t="s">
        <v>72</v>
      </c>
    </row>
    <row r="14" spans="4:10" x14ac:dyDescent="0.2">
      <c r="D14" s="3" t="s">
        <v>73</v>
      </c>
      <c r="E14" s="3">
        <v>19.399999999999999</v>
      </c>
    </row>
    <row r="15" spans="4:10" x14ac:dyDescent="0.2">
      <c r="D15" s="3" t="s">
        <v>74</v>
      </c>
      <c r="E15" s="3">
        <v>33.4</v>
      </c>
    </row>
    <row r="17" spans="4:7" x14ac:dyDescent="0.2">
      <c r="D17" s="3" t="s">
        <v>61</v>
      </c>
      <c r="E17" s="3" t="s">
        <v>62</v>
      </c>
      <c r="F17" s="3" t="s">
        <v>80</v>
      </c>
      <c r="G17" s="3" t="s">
        <v>81</v>
      </c>
    </row>
    <row r="18" spans="4:7" x14ac:dyDescent="0.2">
      <c r="D18" s="3" t="s">
        <v>2</v>
      </c>
      <c r="E18" s="2">
        <v>11.7</v>
      </c>
      <c r="F18" s="2" t="s">
        <v>82</v>
      </c>
      <c r="G18" s="3">
        <v>21.1</v>
      </c>
    </row>
    <row r="19" spans="4:7" x14ac:dyDescent="0.2">
      <c r="D19" s="3" t="s">
        <v>3</v>
      </c>
      <c r="E19" s="2">
        <v>12.4</v>
      </c>
      <c r="F19" s="2" t="s">
        <v>82</v>
      </c>
      <c r="G19" s="3">
        <v>22.3</v>
      </c>
    </row>
    <row r="20" spans="4:7" x14ac:dyDescent="0.2">
      <c r="D20" s="3" t="s">
        <v>4</v>
      </c>
      <c r="E20" s="2">
        <v>6.4</v>
      </c>
      <c r="F20" s="2" t="s">
        <v>82</v>
      </c>
      <c r="G20" s="3">
        <v>11.5</v>
      </c>
    </row>
    <row r="21" spans="4:7" x14ac:dyDescent="0.2">
      <c r="D21" s="3" t="s">
        <v>5</v>
      </c>
      <c r="E21" s="2">
        <v>5.8</v>
      </c>
      <c r="F21" s="2" t="s">
        <v>82</v>
      </c>
      <c r="G21" s="3">
        <v>10.4</v>
      </c>
    </row>
    <row r="22" spans="4:7" x14ac:dyDescent="0.2">
      <c r="D22" s="3" t="s">
        <v>6</v>
      </c>
      <c r="E22" s="2">
        <v>3.4</v>
      </c>
      <c r="F22" s="2" t="s">
        <v>83</v>
      </c>
      <c r="G22" s="3">
        <v>7.5</v>
      </c>
    </row>
    <row r="23" spans="4:7" x14ac:dyDescent="0.2">
      <c r="D23" s="3" t="s">
        <v>7</v>
      </c>
      <c r="E23" s="2">
        <v>17.399999999999999</v>
      </c>
      <c r="F23" s="2" t="s">
        <v>84</v>
      </c>
      <c r="G23" s="3">
        <v>26.1</v>
      </c>
    </row>
    <row r="26" spans="4:7" x14ac:dyDescent="0.2">
      <c r="D26" s="3" t="s">
        <v>117</v>
      </c>
      <c r="E26" s="3" t="s">
        <v>118</v>
      </c>
      <c r="F26" s="3" t="s">
        <v>119</v>
      </c>
    </row>
    <row r="27" spans="4:7" x14ac:dyDescent="0.2">
      <c r="D27" s="2" t="s">
        <v>100</v>
      </c>
      <c r="E27" s="2">
        <v>1.2</v>
      </c>
      <c r="F27" s="2" t="s">
        <v>120</v>
      </c>
    </row>
    <row r="28" spans="4:7" x14ac:dyDescent="0.2">
      <c r="D28" s="2" t="s">
        <v>104</v>
      </c>
      <c r="E28" s="2">
        <v>0.5</v>
      </c>
      <c r="F28" s="2" t="s">
        <v>121</v>
      </c>
    </row>
    <row r="29" spans="4:7" x14ac:dyDescent="0.2">
      <c r="D29" s="2" t="s">
        <v>102</v>
      </c>
      <c r="E29" s="2">
        <v>1</v>
      </c>
      <c r="F29" s="2" t="s">
        <v>122</v>
      </c>
    </row>
    <row r="30" spans="4:7" x14ac:dyDescent="0.2">
      <c r="D30" s="2" t="s">
        <v>98</v>
      </c>
      <c r="E30" s="2">
        <v>1.5</v>
      </c>
      <c r="F30" s="2" t="s">
        <v>123</v>
      </c>
    </row>
    <row r="31" spans="4:7" x14ac:dyDescent="0.2">
      <c r="D31" s="2" t="s">
        <v>106</v>
      </c>
      <c r="E31" s="2">
        <v>0.7</v>
      </c>
      <c r="F31" s="2" t="s">
        <v>124</v>
      </c>
    </row>
  </sheetData>
  <mergeCells count="2">
    <mergeCell ref="D1:G1"/>
    <mergeCell ref="E3:F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EED62-4A37-BA4D-8A43-A7DBBC700C4F}">
  <dimension ref="B5:J29"/>
  <sheetViews>
    <sheetView zoomScale="56" workbookViewId="0">
      <selection activeCell="H48" sqref="H48"/>
    </sheetView>
  </sheetViews>
  <sheetFormatPr baseColWidth="10" defaultRowHeight="16" x14ac:dyDescent="0.2"/>
  <cols>
    <col min="2" max="2" width="34.6640625" customWidth="1"/>
    <col min="7" max="7" width="17" customWidth="1"/>
    <col min="8" max="8" width="24.33203125" customWidth="1"/>
    <col min="9" max="9" width="23.33203125" customWidth="1"/>
    <col min="10" max="10" width="22" customWidth="1"/>
  </cols>
  <sheetData>
    <row r="5" spans="2:10" x14ac:dyDescent="0.2">
      <c r="B5" t="s">
        <v>90</v>
      </c>
    </row>
    <row r="9" spans="2:10" ht="85" x14ac:dyDescent="0.2">
      <c r="B9" s="8" t="s">
        <v>91</v>
      </c>
    </row>
    <row r="10" spans="2:10" x14ac:dyDescent="0.2">
      <c r="H10" s="3" t="s">
        <v>95</v>
      </c>
      <c r="I10" s="3" t="s">
        <v>96</v>
      </c>
      <c r="J10" s="3" t="s">
        <v>97</v>
      </c>
    </row>
    <row r="11" spans="2:10" x14ac:dyDescent="0.2">
      <c r="C11" s="25" t="s">
        <v>92</v>
      </c>
      <c r="D11" s="25"/>
      <c r="E11" s="25"/>
      <c r="H11" s="2" t="s">
        <v>98</v>
      </c>
      <c r="I11" s="2">
        <v>4</v>
      </c>
      <c r="J11" s="2" t="s">
        <v>99</v>
      </c>
    </row>
    <row r="12" spans="2:10" x14ac:dyDescent="0.2">
      <c r="C12" s="2" t="s">
        <v>1</v>
      </c>
      <c r="D12" s="2" t="s">
        <v>73</v>
      </c>
      <c r="E12" s="2" t="s">
        <v>74</v>
      </c>
      <c r="H12" s="2" t="s">
        <v>100</v>
      </c>
      <c r="I12" s="2">
        <v>2</v>
      </c>
      <c r="J12" s="2" t="s">
        <v>101</v>
      </c>
    </row>
    <row r="13" spans="2:10" x14ac:dyDescent="0.2">
      <c r="C13" s="2" t="s">
        <v>2</v>
      </c>
      <c r="D13" s="2">
        <v>6</v>
      </c>
      <c r="E13" s="2">
        <v>2</v>
      </c>
      <c r="H13" s="2" t="s">
        <v>102</v>
      </c>
      <c r="I13" s="2">
        <v>1</v>
      </c>
      <c r="J13" s="2" t="s">
        <v>103</v>
      </c>
    </row>
    <row r="14" spans="2:10" x14ac:dyDescent="0.2">
      <c r="C14" s="2" t="s">
        <v>3</v>
      </c>
      <c r="D14" s="2">
        <v>2</v>
      </c>
      <c r="E14" s="2">
        <v>7</v>
      </c>
      <c r="H14" s="2" t="s">
        <v>104</v>
      </c>
      <c r="I14" s="2">
        <v>0.5</v>
      </c>
      <c r="J14" s="2" t="s">
        <v>105</v>
      </c>
    </row>
    <row r="15" spans="2:10" x14ac:dyDescent="0.2">
      <c r="C15" s="2" t="s">
        <v>4</v>
      </c>
      <c r="D15" s="2">
        <v>5</v>
      </c>
      <c r="E15" s="2">
        <v>2</v>
      </c>
      <c r="H15" s="2" t="s">
        <v>106</v>
      </c>
      <c r="I15" s="2">
        <v>0.5</v>
      </c>
      <c r="J15" s="2" t="s">
        <v>105</v>
      </c>
    </row>
    <row r="16" spans="2:10" x14ac:dyDescent="0.2">
      <c r="C16" s="2" t="s">
        <v>5</v>
      </c>
      <c r="D16" s="2">
        <v>2</v>
      </c>
      <c r="E16" s="2">
        <v>7</v>
      </c>
    </row>
    <row r="17" spans="3:8" x14ac:dyDescent="0.2">
      <c r="C17" s="2" t="s">
        <v>6</v>
      </c>
      <c r="D17" s="2">
        <v>5</v>
      </c>
      <c r="E17" s="2">
        <v>2</v>
      </c>
    </row>
    <row r="18" spans="3:8" x14ac:dyDescent="0.2">
      <c r="C18" s="2" t="s">
        <v>7</v>
      </c>
      <c r="D18" s="2">
        <v>4</v>
      </c>
      <c r="E18" s="2">
        <v>8</v>
      </c>
    </row>
    <row r="21" spans="3:8" x14ac:dyDescent="0.2">
      <c r="C21" s="25" t="s">
        <v>93</v>
      </c>
      <c r="D21" s="25"/>
      <c r="E21" s="25"/>
      <c r="F21" s="2" t="s">
        <v>94</v>
      </c>
    </row>
    <row r="22" spans="3:8" x14ac:dyDescent="0.2">
      <c r="C22" s="2" t="s">
        <v>1</v>
      </c>
      <c r="D22" s="2" t="s">
        <v>73</v>
      </c>
      <c r="E22" s="2" t="s">
        <v>74</v>
      </c>
      <c r="F22" s="9" t="s">
        <v>107</v>
      </c>
    </row>
    <row r="23" spans="3:8" x14ac:dyDescent="0.2">
      <c r="C23" s="2" t="s">
        <v>2</v>
      </c>
      <c r="D23" s="2">
        <f>D13*20</f>
        <v>120</v>
      </c>
      <c r="E23" s="2">
        <f>E13*20</f>
        <v>40</v>
      </c>
      <c r="F23" s="9">
        <f>D23+E23</f>
        <v>160</v>
      </c>
      <c r="H23" t="s">
        <v>108</v>
      </c>
    </row>
    <row r="24" spans="3:8" x14ac:dyDescent="0.2">
      <c r="C24" s="2" t="s">
        <v>3</v>
      </c>
      <c r="D24" s="2">
        <f t="shared" ref="D24:E28" si="0">D14*20</f>
        <v>40</v>
      </c>
      <c r="E24" s="2">
        <f t="shared" si="0"/>
        <v>140</v>
      </c>
      <c r="F24" s="9">
        <f t="shared" ref="F24:F28" si="1">D24+E24</f>
        <v>180</v>
      </c>
    </row>
    <row r="25" spans="3:8" x14ac:dyDescent="0.2">
      <c r="C25" s="2" t="s">
        <v>4</v>
      </c>
      <c r="D25" s="2">
        <f t="shared" si="0"/>
        <v>100</v>
      </c>
      <c r="E25" s="2">
        <f t="shared" si="0"/>
        <v>40</v>
      </c>
      <c r="F25" s="9">
        <f t="shared" si="1"/>
        <v>140</v>
      </c>
      <c r="H25" t="s">
        <v>109</v>
      </c>
    </row>
    <row r="26" spans="3:8" x14ac:dyDescent="0.2">
      <c r="C26" s="2" t="s">
        <v>5</v>
      </c>
      <c r="D26" s="2">
        <f t="shared" si="0"/>
        <v>40</v>
      </c>
      <c r="E26" s="2">
        <f t="shared" si="0"/>
        <v>140</v>
      </c>
      <c r="F26" s="9">
        <f t="shared" si="1"/>
        <v>180</v>
      </c>
    </row>
    <row r="27" spans="3:8" x14ac:dyDescent="0.2">
      <c r="C27" s="2" t="s">
        <v>6</v>
      </c>
      <c r="D27" s="2">
        <f t="shared" si="0"/>
        <v>100</v>
      </c>
      <c r="E27" s="2">
        <f t="shared" si="0"/>
        <v>40</v>
      </c>
      <c r="F27" s="9">
        <f t="shared" si="1"/>
        <v>140</v>
      </c>
      <c r="H27" t="s">
        <v>110</v>
      </c>
    </row>
    <row r="28" spans="3:8" x14ac:dyDescent="0.2">
      <c r="C28" s="2" t="s">
        <v>7</v>
      </c>
      <c r="D28" s="2">
        <f t="shared" si="0"/>
        <v>80</v>
      </c>
      <c r="E28" s="2">
        <f t="shared" si="0"/>
        <v>160</v>
      </c>
      <c r="F28" s="9">
        <f t="shared" si="1"/>
        <v>240</v>
      </c>
    </row>
    <row r="29" spans="3:8" x14ac:dyDescent="0.2">
      <c r="H29" t="s">
        <v>111</v>
      </c>
    </row>
  </sheetData>
  <mergeCells count="2">
    <mergeCell ref="C11:E11"/>
    <mergeCell ref="C21:E2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C1790-B203-A846-A9EA-E75104D83FC9}">
  <dimension ref="B2:W59"/>
  <sheetViews>
    <sheetView topLeftCell="D2" zoomScale="58" zoomScaleNormal="112" workbookViewId="0">
      <selection activeCell="D8" sqref="D8:H13"/>
    </sheetView>
  </sheetViews>
  <sheetFormatPr baseColWidth="10" defaultRowHeight="16" x14ac:dyDescent="0.2"/>
  <cols>
    <col min="2" max="2" width="18.5" customWidth="1"/>
    <col min="3" max="3" width="21.6640625" customWidth="1"/>
    <col min="4" max="4" width="18.1640625" customWidth="1"/>
    <col min="5" max="5" width="19" customWidth="1"/>
    <col min="6" max="6" width="15.83203125" customWidth="1"/>
    <col min="7" max="7" width="18.83203125" customWidth="1"/>
    <col min="10" max="10" width="23" customWidth="1"/>
    <col min="14" max="14" width="14.6640625" customWidth="1"/>
    <col min="17" max="17" width="29" customWidth="1"/>
  </cols>
  <sheetData>
    <row r="2" spans="2:23" x14ac:dyDescent="0.2">
      <c r="J2" s="7"/>
    </row>
    <row r="3" spans="2:23" x14ac:dyDescent="0.2">
      <c r="J3" s="7"/>
    </row>
    <row r="4" spans="2:23" x14ac:dyDescent="0.2">
      <c r="J4" s="7"/>
    </row>
    <row r="5" spans="2:23" x14ac:dyDescent="0.2">
      <c r="J5" s="7"/>
    </row>
    <row r="6" spans="2:23" ht="22" x14ac:dyDescent="0.3">
      <c r="C6" s="26" t="s">
        <v>0</v>
      </c>
      <c r="D6" s="26"/>
      <c r="E6" s="26"/>
      <c r="F6" s="26"/>
      <c r="G6" s="26"/>
      <c r="J6" s="7"/>
      <c r="M6" s="20"/>
      <c r="N6" s="20"/>
      <c r="O6" s="20"/>
      <c r="P6" s="20"/>
    </row>
    <row r="7" spans="2:23" x14ac:dyDescent="0.2">
      <c r="B7" s="3" t="s">
        <v>19</v>
      </c>
      <c r="C7" s="3" t="s">
        <v>16</v>
      </c>
      <c r="D7" s="3" t="s">
        <v>9</v>
      </c>
      <c r="E7" s="3" t="s">
        <v>10</v>
      </c>
      <c r="F7" s="3" t="s">
        <v>11</v>
      </c>
      <c r="G7" s="3" t="s">
        <v>12</v>
      </c>
      <c r="H7" s="3" t="s">
        <v>13</v>
      </c>
      <c r="I7" s="3" t="s">
        <v>14</v>
      </c>
      <c r="J7" s="7"/>
      <c r="M7" s="20"/>
      <c r="N7" s="20"/>
      <c r="O7" s="20"/>
      <c r="P7" s="20"/>
    </row>
    <row r="8" spans="2:23" x14ac:dyDescent="0.2">
      <c r="B8" s="3" t="s">
        <v>2</v>
      </c>
      <c r="C8" s="2">
        <v>0.5</v>
      </c>
      <c r="D8" s="2">
        <v>20</v>
      </c>
      <c r="E8" s="2">
        <v>13</v>
      </c>
      <c r="F8" s="2">
        <v>24</v>
      </c>
      <c r="G8" s="2">
        <v>12</v>
      </c>
      <c r="H8" s="2">
        <v>9</v>
      </c>
      <c r="I8" s="3">
        <v>78</v>
      </c>
      <c r="J8" s="7"/>
      <c r="M8" s="20"/>
      <c r="N8" s="20"/>
      <c r="O8" s="20"/>
      <c r="P8" s="20"/>
    </row>
    <row r="9" spans="2:23" x14ac:dyDescent="0.2">
      <c r="B9" s="3" t="s">
        <v>3</v>
      </c>
      <c r="C9" s="2">
        <v>0.8</v>
      </c>
      <c r="D9" s="2">
        <v>21</v>
      </c>
      <c r="E9" s="2">
        <v>35</v>
      </c>
      <c r="F9" s="2">
        <v>35</v>
      </c>
      <c r="G9" s="2">
        <v>8</v>
      </c>
      <c r="H9" s="2">
        <v>38</v>
      </c>
      <c r="I9" s="3">
        <v>137</v>
      </c>
      <c r="J9" s="7"/>
    </row>
    <row r="10" spans="2:23" x14ac:dyDescent="0.2">
      <c r="B10" s="3" t="s">
        <v>4</v>
      </c>
      <c r="C10" s="2">
        <v>0.7</v>
      </c>
      <c r="D10" s="2">
        <v>17</v>
      </c>
      <c r="E10" s="2">
        <v>24</v>
      </c>
      <c r="F10" s="2">
        <v>25</v>
      </c>
      <c r="G10" s="2">
        <v>7</v>
      </c>
      <c r="H10" s="2">
        <v>22</v>
      </c>
      <c r="I10" s="3">
        <v>95</v>
      </c>
      <c r="J10" s="7"/>
    </row>
    <row r="11" spans="2:23" x14ac:dyDescent="0.2">
      <c r="B11" s="3" t="s">
        <v>5</v>
      </c>
      <c r="C11" s="2">
        <v>0.8</v>
      </c>
      <c r="D11" s="2">
        <v>19</v>
      </c>
      <c r="E11" s="2">
        <v>35</v>
      </c>
      <c r="F11" s="2">
        <v>35</v>
      </c>
      <c r="G11" s="2">
        <v>8</v>
      </c>
      <c r="H11" s="2">
        <v>38</v>
      </c>
      <c r="I11" s="3">
        <v>135</v>
      </c>
      <c r="J11" s="7"/>
    </row>
    <row r="12" spans="2:23" ht="22" customHeight="1" x14ac:dyDescent="0.3">
      <c r="B12" s="3" t="s">
        <v>6</v>
      </c>
      <c r="C12" s="2">
        <v>0.4</v>
      </c>
      <c r="D12" s="2">
        <v>19</v>
      </c>
      <c r="E12" s="2">
        <v>6</v>
      </c>
      <c r="F12" s="2">
        <v>8</v>
      </c>
      <c r="G12" s="2">
        <v>14</v>
      </c>
      <c r="H12" s="2">
        <v>6</v>
      </c>
      <c r="I12" s="3">
        <v>53</v>
      </c>
      <c r="J12" s="7"/>
      <c r="M12" s="3"/>
      <c r="N12" s="3"/>
      <c r="O12" s="3"/>
      <c r="Q12" s="21"/>
      <c r="R12" s="22"/>
      <c r="S12" s="22"/>
      <c r="T12" s="22"/>
      <c r="U12" s="22"/>
      <c r="V12" s="22"/>
      <c r="W12" s="22"/>
    </row>
    <row r="13" spans="2:23" x14ac:dyDescent="0.2">
      <c r="B13" s="3" t="s">
        <v>7</v>
      </c>
      <c r="C13" s="2">
        <v>0.5</v>
      </c>
      <c r="D13" s="2">
        <v>28</v>
      </c>
      <c r="E13" s="2">
        <v>19</v>
      </c>
      <c r="F13" s="2">
        <v>34</v>
      </c>
      <c r="G13" s="2">
        <v>15</v>
      </c>
      <c r="H13" s="2">
        <v>20</v>
      </c>
      <c r="I13" s="3">
        <v>116</v>
      </c>
      <c r="J13" s="7"/>
      <c r="M13" s="2"/>
      <c r="N13" s="2"/>
      <c r="O13" s="2"/>
    </row>
    <row r="14" spans="2:23" x14ac:dyDescent="0.2">
      <c r="B14" s="3" t="s">
        <v>15</v>
      </c>
      <c r="C14" s="2" t="s">
        <v>17</v>
      </c>
      <c r="D14" s="3">
        <v>124</v>
      </c>
      <c r="E14" s="3">
        <v>132</v>
      </c>
      <c r="F14" s="3">
        <v>161</v>
      </c>
      <c r="G14" s="3">
        <v>64</v>
      </c>
      <c r="H14" s="3">
        <v>133</v>
      </c>
      <c r="I14" s="3">
        <v>614</v>
      </c>
      <c r="J14" s="7"/>
      <c r="M14" s="2"/>
      <c r="N14" s="2"/>
      <c r="O14" s="2"/>
    </row>
    <row r="15" spans="2:23" x14ac:dyDescent="0.2">
      <c r="J15" s="7"/>
      <c r="M15" s="2"/>
      <c r="N15" s="2"/>
      <c r="O15" s="2"/>
    </row>
    <row r="16" spans="2:23" ht="22" x14ac:dyDescent="0.3">
      <c r="C16" s="27" t="s">
        <v>18</v>
      </c>
      <c r="D16" s="27"/>
      <c r="E16" s="27"/>
      <c r="F16" s="27"/>
      <c r="G16" s="27"/>
      <c r="H16" s="27"/>
      <c r="J16" s="7"/>
      <c r="M16" s="2"/>
      <c r="N16" s="2"/>
      <c r="O16" s="2"/>
    </row>
    <row r="17" spans="2:19" x14ac:dyDescent="0.2">
      <c r="B17" s="3" t="s">
        <v>20</v>
      </c>
      <c r="C17" s="3" t="s">
        <v>9</v>
      </c>
      <c r="D17" s="3" t="s">
        <v>10</v>
      </c>
      <c r="E17" s="3" t="s">
        <v>11</v>
      </c>
      <c r="F17" s="3" t="s">
        <v>12</v>
      </c>
      <c r="G17" s="3" t="s">
        <v>13</v>
      </c>
      <c r="H17" s="3" t="s">
        <v>14</v>
      </c>
      <c r="J17" s="7"/>
      <c r="M17" s="2"/>
      <c r="N17" s="2"/>
      <c r="O17" s="2"/>
    </row>
    <row r="18" spans="2:19" x14ac:dyDescent="0.2">
      <c r="B18" s="3" t="s">
        <v>2</v>
      </c>
      <c r="C18" s="2">
        <v>41</v>
      </c>
      <c r="D18" s="2">
        <v>26</v>
      </c>
      <c r="E18" s="2">
        <v>49</v>
      </c>
      <c r="F18" s="2">
        <v>24</v>
      </c>
      <c r="G18" s="2">
        <v>18</v>
      </c>
      <c r="H18" s="3">
        <v>158</v>
      </c>
      <c r="J18" s="7"/>
      <c r="M18" s="2"/>
      <c r="N18" s="2"/>
      <c r="O18" s="2"/>
    </row>
    <row r="19" spans="2:19" ht="16" customHeight="1" x14ac:dyDescent="0.2">
      <c r="B19" s="3" t="s">
        <v>3</v>
      </c>
      <c r="C19" s="2">
        <v>26</v>
      </c>
      <c r="D19" s="2">
        <v>44</v>
      </c>
      <c r="E19" s="2">
        <v>44</v>
      </c>
      <c r="F19" s="2">
        <v>10</v>
      </c>
      <c r="G19" s="2">
        <v>48</v>
      </c>
      <c r="H19" s="3">
        <v>172</v>
      </c>
      <c r="J19" s="7"/>
    </row>
    <row r="20" spans="2:19" x14ac:dyDescent="0.2">
      <c r="B20" s="3" t="s">
        <v>4</v>
      </c>
      <c r="C20" s="2">
        <v>24</v>
      </c>
      <c r="D20" s="2">
        <v>34</v>
      </c>
      <c r="E20" s="2">
        <v>36</v>
      </c>
      <c r="F20" s="2">
        <v>10</v>
      </c>
      <c r="G20" s="2">
        <v>32</v>
      </c>
      <c r="H20" s="3">
        <v>136</v>
      </c>
      <c r="J20" s="7"/>
      <c r="M20" s="23"/>
      <c r="N20" s="23"/>
      <c r="O20" s="23"/>
      <c r="P20" s="23"/>
      <c r="Q20" s="23"/>
      <c r="R20" s="23"/>
      <c r="S20" s="23"/>
    </row>
    <row r="21" spans="2:19" x14ac:dyDescent="0.2">
      <c r="B21" s="3" t="s">
        <v>5</v>
      </c>
      <c r="C21" s="2">
        <v>24</v>
      </c>
      <c r="D21" s="2">
        <v>44</v>
      </c>
      <c r="E21" s="2">
        <v>44</v>
      </c>
      <c r="F21" s="2">
        <v>10</v>
      </c>
      <c r="G21" s="2">
        <v>48</v>
      </c>
      <c r="H21" s="3">
        <v>170</v>
      </c>
      <c r="J21" s="7"/>
      <c r="M21" s="5"/>
      <c r="N21" s="3"/>
      <c r="O21" s="3"/>
      <c r="P21" s="3"/>
    </row>
    <row r="22" spans="2:19" x14ac:dyDescent="0.2">
      <c r="B22" s="3" t="s">
        <v>6</v>
      </c>
      <c r="C22" s="2">
        <v>48</v>
      </c>
      <c r="D22" s="2">
        <v>14</v>
      </c>
      <c r="E22" s="2">
        <v>19</v>
      </c>
      <c r="F22" s="2">
        <v>36</v>
      </c>
      <c r="G22" s="2">
        <v>14</v>
      </c>
      <c r="H22" s="3">
        <v>131</v>
      </c>
      <c r="J22" s="7"/>
      <c r="M22" s="3"/>
      <c r="N22" s="2"/>
      <c r="O22" s="2"/>
      <c r="P22" s="2"/>
    </row>
    <row r="23" spans="2:19" x14ac:dyDescent="0.2">
      <c r="B23" s="3" t="s">
        <v>7</v>
      </c>
      <c r="C23" s="2">
        <v>57</v>
      </c>
      <c r="D23" s="2">
        <v>38</v>
      </c>
      <c r="E23" s="2">
        <v>68</v>
      </c>
      <c r="F23" s="2">
        <v>30</v>
      </c>
      <c r="G23" s="2">
        <v>40</v>
      </c>
      <c r="H23" s="3">
        <v>233</v>
      </c>
      <c r="J23" s="7"/>
      <c r="M23" s="3"/>
      <c r="N23" s="2"/>
      <c r="O23" s="2"/>
      <c r="P23" s="2"/>
    </row>
    <row r="24" spans="2:19" x14ac:dyDescent="0.2">
      <c r="B24" s="3" t="s">
        <v>15</v>
      </c>
      <c r="C24" s="3">
        <v>220</v>
      </c>
      <c r="D24" s="3">
        <v>200</v>
      </c>
      <c r="E24" s="3">
        <v>260</v>
      </c>
      <c r="F24" s="3">
        <v>120</v>
      </c>
      <c r="G24" s="3">
        <v>200</v>
      </c>
      <c r="H24" s="4">
        <v>1000</v>
      </c>
      <c r="J24" s="7"/>
      <c r="M24" s="2"/>
      <c r="N24" s="2"/>
      <c r="O24" s="2"/>
      <c r="P24" s="2"/>
    </row>
    <row r="25" spans="2:19" x14ac:dyDescent="0.2">
      <c r="J25" s="7"/>
      <c r="M25" s="6"/>
      <c r="N25" s="3"/>
      <c r="O25" s="3"/>
      <c r="P25" s="3"/>
    </row>
    <row r="26" spans="2:19" x14ac:dyDescent="0.2">
      <c r="J26" s="7"/>
      <c r="M26" s="3"/>
      <c r="N26" s="2"/>
      <c r="O26" s="2"/>
      <c r="P26" s="2"/>
    </row>
    <row r="27" spans="2:19" x14ac:dyDescent="0.2">
      <c r="J27" s="7"/>
    </row>
    <row r="28" spans="2:19" x14ac:dyDescent="0.2">
      <c r="J28" s="7"/>
    </row>
    <row r="29" spans="2:19" x14ac:dyDescent="0.2">
      <c r="B29" s="1" t="s">
        <v>21</v>
      </c>
      <c r="C29" s="1" t="s">
        <v>22</v>
      </c>
      <c r="D29" s="1" t="s">
        <v>23</v>
      </c>
      <c r="E29" s="1" t="s">
        <v>24</v>
      </c>
      <c r="F29" s="1" t="s">
        <v>25</v>
      </c>
      <c r="G29" s="1" t="s">
        <v>26</v>
      </c>
      <c r="J29" s="7"/>
    </row>
    <row r="30" spans="2:19" x14ac:dyDescent="0.2">
      <c r="B30" s="1" t="s">
        <v>27</v>
      </c>
      <c r="C30" t="s">
        <v>28</v>
      </c>
      <c r="D30" t="s">
        <v>29</v>
      </c>
      <c r="E30" t="s">
        <v>30</v>
      </c>
      <c r="F30" s="1" t="s">
        <v>31</v>
      </c>
      <c r="G30" t="s">
        <v>32</v>
      </c>
      <c r="J30" s="7"/>
      <c r="M30" s="24"/>
      <c r="N30" s="16"/>
      <c r="O30" s="16"/>
      <c r="P30" s="16"/>
      <c r="Q30" s="16"/>
      <c r="R30" s="16"/>
      <c r="S30" s="16"/>
    </row>
    <row r="31" spans="2:19" x14ac:dyDescent="0.2">
      <c r="B31" s="1" t="s">
        <v>33</v>
      </c>
      <c r="C31" t="s">
        <v>34</v>
      </c>
      <c r="D31" t="s">
        <v>29</v>
      </c>
      <c r="E31" t="s">
        <v>35</v>
      </c>
      <c r="F31" s="1" t="s">
        <v>36</v>
      </c>
      <c r="G31" t="s">
        <v>37</v>
      </c>
      <c r="J31" s="7"/>
      <c r="M31" s="25"/>
      <c r="N31" s="25"/>
      <c r="O31" s="25"/>
      <c r="P31" s="25"/>
      <c r="Q31" s="25"/>
      <c r="R31" s="25"/>
      <c r="S31" s="25"/>
    </row>
    <row r="32" spans="2:19" x14ac:dyDescent="0.2">
      <c r="B32" s="1" t="s">
        <v>38</v>
      </c>
      <c r="C32" t="s">
        <v>39</v>
      </c>
      <c r="D32" t="s">
        <v>29</v>
      </c>
      <c r="E32" t="s">
        <v>40</v>
      </c>
      <c r="F32" s="1" t="s">
        <v>41</v>
      </c>
      <c r="G32" t="s">
        <v>42</v>
      </c>
      <c r="J32" s="7"/>
      <c r="M32" s="3"/>
      <c r="N32" s="3"/>
      <c r="O32" s="3"/>
      <c r="P32" s="3"/>
      <c r="Q32" s="3"/>
      <c r="R32" s="3"/>
      <c r="S32" s="3"/>
    </row>
    <row r="33" spans="2:19" x14ac:dyDescent="0.2">
      <c r="J33" s="7"/>
      <c r="M33" s="3"/>
      <c r="N33" s="2"/>
      <c r="O33" s="2"/>
      <c r="P33" s="2"/>
      <c r="Q33" s="2"/>
      <c r="R33" s="2"/>
      <c r="S33" s="2"/>
    </row>
    <row r="34" spans="2:19" x14ac:dyDescent="0.2">
      <c r="J34" s="7"/>
      <c r="M34" s="3"/>
      <c r="N34" s="2"/>
      <c r="O34" s="2"/>
      <c r="P34" s="2"/>
      <c r="Q34" s="2"/>
      <c r="R34" s="2"/>
      <c r="S34" s="2"/>
    </row>
    <row r="35" spans="2:19" x14ac:dyDescent="0.2">
      <c r="B35" s="3" t="s">
        <v>1</v>
      </c>
      <c r="C35" s="3" t="s">
        <v>8</v>
      </c>
      <c r="D35" s="2" t="s">
        <v>85</v>
      </c>
      <c r="J35" s="7"/>
      <c r="M35" s="3"/>
      <c r="N35" s="2"/>
      <c r="O35" s="2"/>
      <c r="P35" s="2"/>
      <c r="Q35" s="2"/>
      <c r="R35" s="2"/>
      <c r="S35" s="2"/>
    </row>
    <row r="36" spans="2:19" x14ac:dyDescent="0.2">
      <c r="B36" s="2" t="s">
        <v>2</v>
      </c>
      <c r="C36" s="2">
        <v>0.5</v>
      </c>
      <c r="D36" s="2" t="s">
        <v>85</v>
      </c>
      <c r="J36" s="7"/>
      <c r="M36" s="3"/>
      <c r="N36" s="2"/>
      <c r="O36" s="2"/>
      <c r="P36" s="2"/>
      <c r="Q36" s="2"/>
      <c r="R36" s="2"/>
      <c r="S36" s="2"/>
    </row>
    <row r="37" spans="2:19" x14ac:dyDescent="0.2">
      <c r="B37" s="2" t="s">
        <v>3</v>
      </c>
      <c r="C37" s="2">
        <v>0.8</v>
      </c>
      <c r="D37" s="2" t="s">
        <v>85</v>
      </c>
      <c r="J37" s="7"/>
      <c r="M37" s="3"/>
      <c r="N37" s="2"/>
      <c r="O37" s="2"/>
      <c r="P37" s="2"/>
      <c r="Q37" s="2"/>
      <c r="R37" s="2"/>
      <c r="S37" s="2"/>
    </row>
    <row r="38" spans="2:19" x14ac:dyDescent="0.2">
      <c r="B38" s="2" t="s">
        <v>4</v>
      </c>
      <c r="C38" s="2">
        <v>0.7</v>
      </c>
      <c r="D38" s="2" t="s">
        <v>85</v>
      </c>
      <c r="J38" s="7"/>
      <c r="M38" s="3"/>
      <c r="N38" s="2"/>
      <c r="O38" s="2"/>
      <c r="P38" s="2"/>
      <c r="Q38" s="2"/>
      <c r="R38" s="2"/>
      <c r="S38" s="2"/>
    </row>
    <row r="39" spans="2:19" x14ac:dyDescent="0.2">
      <c r="B39" s="2" t="s">
        <v>5</v>
      </c>
      <c r="C39" s="2">
        <v>0.8</v>
      </c>
      <c r="D39" s="2" t="s">
        <v>85</v>
      </c>
      <c r="J39" s="7"/>
    </row>
    <row r="40" spans="2:19" x14ac:dyDescent="0.2">
      <c r="B40" s="2" t="s">
        <v>6</v>
      </c>
      <c r="C40" s="2">
        <v>0.4</v>
      </c>
      <c r="D40" s="2" t="s">
        <v>85</v>
      </c>
      <c r="J40" s="7"/>
      <c r="M40" s="16"/>
      <c r="N40" s="16"/>
      <c r="O40" s="16"/>
    </row>
    <row r="41" spans="2:19" x14ac:dyDescent="0.2">
      <c r="B41" s="2" t="s">
        <v>7</v>
      </c>
      <c r="C41" s="2">
        <v>0.5</v>
      </c>
      <c r="D41" s="2" t="s">
        <v>85</v>
      </c>
      <c r="J41" s="7"/>
      <c r="M41" s="3"/>
      <c r="N41" s="3"/>
      <c r="O41" s="3"/>
    </row>
    <row r="42" spans="2:19" x14ac:dyDescent="0.2">
      <c r="J42" s="7"/>
      <c r="M42" s="3"/>
      <c r="N42" s="3"/>
      <c r="O42" s="2"/>
    </row>
    <row r="43" spans="2:19" x14ac:dyDescent="0.2">
      <c r="J43" s="7"/>
      <c r="M43" s="3"/>
      <c r="N43" s="2"/>
      <c r="O43" s="3"/>
    </row>
    <row r="44" spans="2:19" x14ac:dyDescent="0.2">
      <c r="J44" s="7"/>
      <c r="M44" s="3"/>
      <c r="N44" s="3"/>
      <c r="O44" s="2"/>
    </row>
    <row r="45" spans="2:19" x14ac:dyDescent="0.2">
      <c r="J45" s="7"/>
      <c r="M45" s="3"/>
      <c r="N45" s="2"/>
      <c r="O45" s="3"/>
    </row>
    <row r="46" spans="2:19" x14ac:dyDescent="0.2">
      <c r="J46" s="7"/>
      <c r="M46" s="3"/>
      <c r="N46" s="3"/>
      <c r="O46" s="2"/>
    </row>
    <row r="47" spans="2:19" x14ac:dyDescent="0.2">
      <c r="J47" s="7"/>
      <c r="M47" s="3"/>
      <c r="N47" s="3"/>
      <c r="O47" s="2"/>
    </row>
    <row r="48" spans="2:19" x14ac:dyDescent="0.2">
      <c r="J48" s="7"/>
      <c r="M48" s="17"/>
      <c r="N48" s="17"/>
      <c r="O48" s="17"/>
    </row>
    <row r="49" spans="10:15" x14ac:dyDescent="0.2">
      <c r="J49" s="7"/>
      <c r="M49" s="3"/>
      <c r="N49" s="3"/>
      <c r="O49" s="2"/>
    </row>
    <row r="50" spans="10:15" x14ac:dyDescent="0.2">
      <c r="J50" s="7"/>
      <c r="M50" s="3"/>
      <c r="N50" s="3"/>
      <c r="O50" s="2"/>
    </row>
    <row r="51" spans="10:15" x14ac:dyDescent="0.2">
      <c r="J51" s="7"/>
      <c r="M51" s="3"/>
      <c r="N51" s="3"/>
      <c r="O51" s="2"/>
    </row>
    <row r="52" spans="10:15" x14ac:dyDescent="0.2">
      <c r="J52" s="7"/>
      <c r="M52" s="18"/>
      <c r="N52" s="19"/>
    </row>
    <row r="53" spans="10:15" x14ac:dyDescent="0.2">
      <c r="J53" s="7"/>
      <c r="M53" s="3"/>
      <c r="N53" s="3"/>
    </row>
    <row r="54" spans="10:15" x14ac:dyDescent="0.2">
      <c r="J54" s="7"/>
      <c r="M54" s="3"/>
      <c r="N54" s="2"/>
    </row>
    <row r="55" spans="10:15" x14ac:dyDescent="0.2">
      <c r="J55" s="7"/>
      <c r="M55" s="3"/>
      <c r="N55" s="2"/>
    </row>
    <row r="56" spans="10:15" x14ac:dyDescent="0.2">
      <c r="J56" s="7"/>
      <c r="M56" s="3"/>
      <c r="N56" s="2"/>
    </row>
    <row r="57" spans="10:15" x14ac:dyDescent="0.2">
      <c r="J57" s="7"/>
      <c r="M57" s="3"/>
      <c r="N57" s="2"/>
    </row>
    <row r="58" spans="10:15" x14ac:dyDescent="0.2">
      <c r="J58" s="7"/>
      <c r="M58" s="3"/>
      <c r="N58" s="2"/>
    </row>
    <row r="59" spans="10:15" x14ac:dyDescent="0.2">
      <c r="M59" s="3"/>
      <c r="N59" s="2"/>
    </row>
  </sheetData>
  <mergeCells count="10">
    <mergeCell ref="M40:O40"/>
    <mergeCell ref="M48:O48"/>
    <mergeCell ref="M52:N52"/>
    <mergeCell ref="C6:G6"/>
    <mergeCell ref="C16:H16"/>
    <mergeCell ref="M20:S20"/>
    <mergeCell ref="M31:S31"/>
    <mergeCell ref="Q12:W12"/>
    <mergeCell ref="M6:P8"/>
    <mergeCell ref="M30:S30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7E59-1112-FA49-AE36-1409DF30CFB0}">
  <dimension ref="A3:G30"/>
  <sheetViews>
    <sheetView zoomScale="67" workbookViewId="0">
      <selection activeCell="E11" sqref="E11:E17"/>
    </sheetView>
  </sheetViews>
  <sheetFormatPr baseColWidth="10" defaultRowHeight="16" x14ac:dyDescent="0.2"/>
  <cols>
    <col min="1" max="1" width="22.6640625" customWidth="1"/>
    <col min="3" max="3" width="15.33203125" customWidth="1"/>
    <col min="4" max="4" width="14.6640625" customWidth="1"/>
    <col min="5" max="5" width="14.1640625" customWidth="1"/>
    <col min="6" max="6" width="21.5" customWidth="1"/>
  </cols>
  <sheetData>
    <row r="3" spans="1:5" x14ac:dyDescent="0.2">
      <c r="A3" t="s">
        <v>112</v>
      </c>
    </row>
    <row r="4" spans="1:5" x14ac:dyDescent="0.2">
      <c r="C4" t="s">
        <v>116</v>
      </c>
    </row>
    <row r="11" spans="1:5" x14ac:dyDescent="0.2">
      <c r="B11" s="3" t="s">
        <v>1</v>
      </c>
      <c r="C11" s="3" t="s">
        <v>113</v>
      </c>
      <c r="D11" s="3" t="s">
        <v>114</v>
      </c>
      <c r="E11" s="3" t="s">
        <v>115</v>
      </c>
    </row>
    <row r="12" spans="1:5" x14ac:dyDescent="0.2">
      <c r="B12" s="2" t="s">
        <v>2</v>
      </c>
      <c r="C12" s="2">
        <v>4</v>
      </c>
      <c r="D12" s="2">
        <v>20</v>
      </c>
      <c r="E12" s="2">
        <f>C12*D12</f>
        <v>80</v>
      </c>
    </row>
    <row r="13" spans="1:5" x14ac:dyDescent="0.2">
      <c r="B13" s="2" t="s">
        <v>3</v>
      </c>
      <c r="C13" s="2">
        <v>7</v>
      </c>
      <c r="D13" s="2">
        <v>20</v>
      </c>
      <c r="E13" s="2">
        <f t="shared" ref="E13:E17" si="0">C13*D13</f>
        <v>140</v>
      </c>
    </row>
    <row r="14" spans="1:5" x14ac:dyDescent="0.2">
      <c r="B14" s="2" t="s">
        <v>4</v>
      </c>
      <c r="C14" s="2">
        <v>5</v>
      </c>
      <c r="D14" s="2">
        <v>20</v>
      </c>
      <c r="E14" s="2">
        <f t="shared" si="0"/>
        <v>100</v>
      </c>
    </row>
    <row r="15" spans="1:5" x14ac:dyDescent="0.2">
      <c r="B15" s="2" t="s">
        <v>5</v>
      </c>
      <c r="C15" s="2">
        <v>7</v>
      </c>
      <c r="D15" s="2">
        <v>20</v>
      </c>
      <c r="E15" s="2">
        <f t="shared" si="0"/>
        <v>140</v>
      </c>
    </row>
    <row r="16" spans="1:5" x14ac:dyDescent="0.2">
      <c r="B16" s="2" t="s">
        <v>6</v>
      </c>
      <c r="C16" s="2">
        <v>3</v>
      </c>
      <c r="D16" s="2">
        <v>20</v>
      </c>
      <c r="E16" s="2">
        <f t="shared" si="0"/>
        <v>60</v>
      </c>
    </row>
    <row r="17" spans="2:7" x14ac:dyDescent="0.2">
      <c r="B17" s="2" t="s">
        <v>7</v>
      </c>
      <c r="C17" s="2">
        <v>6</v>
      </c>
      <c r="D17" s="2">
        <v>20</v>
      </c>
      <c r="E17" s="2">
        <f t="shared" si="0"/>
        <v>120</v>
      </c>
    </row>
    <row r="23" spans="2:7" x14ac:dyDescent="0.2">
      <c r="B23" s="3" t="s">
        <v>1</v>
      </c>
      <c r="C23" s="3" t="s">
        <v>129</v>
      </c>
      <c r="D23" s="2"/>
    </row>
    <row r="24" spans="2:7" x14ac:dyDescent="0.2">
      <c r="B24" s="2" t="s">
        <v>2</v>
      </c>
      <c r="C24" s="2">
        <v>160</v>
      </c>
      <c r="D24" s="2"/>
      <c r="F24" s="3" t="s">
        <v>130</v>
      </c>
      <c r="G24" s="3" t="s">
        <v>131</v>
      </c>
    </row>
    <row r="25" spans="2:7" x14ac:dyDescent="0.2">
      <c r="B25" s="2" t="s">
        <v>4</v>
      </c>
      <c r="C25" s="2">
        <v>200</v>
      </c>
      <c r="D25" s="2"/>
      <c r="F25" s="2" t="s">
        <v>132</v>
      </c>
      <c r="G25" s="12">
        <v>5200</v>
      </c>
    </row>
    <row r="26" spans="2:7" x14ac:dyDescent="0.2">
      <c r="B26" s="2" t="s">
        <v>6</v>
      </c>
      <c r="C26" s="2">
        <v>220</v>
      </c>
      <c r="D26" s="2"/>
      <c r="F26" s="2" t="s">
        <v>133</v>
      </c>
      <c r="G26" s="12">
        <v>2300</v>
      </c>
    </row>
    <row r="27" spans="2:7" x14ac:dyDescent="0.2">
      <c r="B27" s="2" t="s">
        <v>3</v>
      </c>
      <c r="C27" s="2">
        <v>150</v>
      </c>
      <c r="D27" s="2"/>
      <c r="F27" s="2" t="s">
        <v>134</v>
      </c>
      <c r="G27" s="12">
        <v>1800</v>
      </c>
    </row>
    <row r="28" spans="2:7" x14ac:dyDescent="0.2">
      <c r="B28" s="2" t="s">
        <v>5</v>
      </c>
      <c r="C28" s="2">
        <v>140</v>
      </c>
      <c r="D28" s="2"/>
      <c r="F28" s="2" t="s">
        <v>135</v>
      </c>
      <c r="G28" s="12">
        <v>1900</v>
      </c>
    </row>
    <row r="29" spans="2:7" x14ac:dyDescent="0.2">
      <c r="B29" s="2" t="s">
        <v>7</v>
      </c>
      <c r="C29" s="2">
        <v>130</v>
      </c>
      <c r="D29" s="2"/>
      <c r="F29" s="3" t="s">
        <v>136</v>
      </c>
      <c r="G29" s="13">
        <v>11200</v>
      </c>
    </row>
    <row r="30" spans="2:7" x14ac:dyDescent="0.2">
      <c r="B30" s="3" t="s">
        <v>107</v>
      </c>
      <c r="C30" s="4">
        <v>1000</v>
      </c>
      <c r="D30" s="2"/>
      <c r="F30" s="2" t="s">
        <v>137</v>
      </c>
      <c r="G30" s="2" t="s">
        <v>138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C19B3-CCCB-D245-800E-62F405D0C4DF}">
  <dimension ref="B9:D34"/>
  <sheetViews>
    <sheetView topLeftCell="A4" workbookViewId="0">
      <selection activeCell="F32" sqref="F32"/>
    </sheetView>
  </sheetViews>
  <sheetFormatPr baseColWidth="10" defaultRowHeight="16" x14ac:dyDescent="0.2"/>
  <sheetData>
    <row r="9" spans="2:4" x14ac:dyDescent="0.2">
      <c r="B9" s="3" t="s">
        <v>1</v>
      </c>
      <c r="C9" s="3" t="s">
        <v>73</v>
      </c>
      <c r="D9" s="3" t="s">
        <v>74</v>
      </c>
    </row>
    <row r="10" spans="2:4" x14ac:dyDescent="0.2">
      <c r="B10" s="2" t="s">
        <v>2</v>
      </c>
      <c r="C10" s="2">
        <v>180</v>
      </c>
      <c r="D10" s="2">
        <v>0</v>
      </c>
    </row>
    <row r="11" spans="2:4" x14ac:dyDescent="0.2">
      <c r="B11" s="2" t="s">
        <v>4</v>
      </c>
      <c r="C11" s="2">
        <v>190</v>
      </c>
      <c r="D11" s="2">
        <v>0</v>
      </c>
    </row>
    <row r="12" spans="2:4" x14ac:dyDescent="0.2">
      <c r="B12" s="2" t="s">
        <v>6</v>
      </c>
      <c r="C12" s="2">
        <v>210</v>
      </c>
      <c r="D12" s="2">
        <v>0</v>
      </c>
    </row>
    <row r="13" spans="2:4" x14ac:dyDescent="0.2">
      <c r="B13" s="2" t="s">
        <v>3</v>
      </c>
      <c r="C13" s="2">
        <v>0</v>
      </c>
      <c r="D13" s="2">
        <v>160</v>
      </c>
    </row>
    <row r="14" spans="2:4" x14ac:dyDescent="0.2">
      <c r="B14" s="2" t="s">
        <v>5</v>
      </c>
      <c r="C14" s="2">
        <v>0</v>
      </c>
      <c r="D14" s="2">
        <v>140</v>
      </c>
    </row>
    <row r="15" spans="2:4" x14ac:dyDescent="0.2">
      <c r="B15" s="2" t="s">
        <v>7</v>
      </c>
      <c r="C15" s="2">
        <v>0</v>
      </c>
      <c r="D15" s="2">
        <v>120</v>
      </c>
    </row>
    <row r="16" spans="2:4" x14ac:dyDescent="0.2">
      <c r="B16" s="9" t="s">
        <v>107</v>
      </c>
      <c r="C16" s="2">
        <f>SUM(C10:C15)</f>
        <v>580</v>
      </c>
      <c r="D16" s="2">
        <f>SUM(D10:D15)</f>
        <v>420</v>
      </c>
    </row>
    <row r="18" spans="2:4" x14ac:dyDescent="0.2">
      <c r="B18" t="s">
        <v>125</v>
      </c>
    </row>
    <row r="20" spans="2:4" x14ac:dyDescent="0.2">
      <c r="B20" s="3" t="s">
        <v>47</v>
      </c>
      <c r="C20" s="3" t="s">
        <v>126</v>
      </c>
      <c r="D20" s="2"/>
    </row>
    <row r="21" spans="2:4" x14ac:dyDescent="0.2">
      <c r="B21" s="2" t="s">
        <v>73</v>
      </c>
      <c r="C21" s="2">
        <v>580</v>
      </c>
      <c r="D21" s="2"/>
    </row>
    <row r="22" spans="2:4" x14ac:dyDescent="0.2">
      <c r="B22" s="2" t="s">
        <v>74</v>
      </c>
      <c r="C22" s="2">
        <v>420</v>
      </c>
      <c r="D22" s="2"/>
    </row>
    <row r="23" spans="2:4" x14ac:dyDescent="0.2">
      <c r="B23" s="3" t="s">
        <v>107</v>
      </c>
      <c r="C23" s="4">
        <v>1000</v>
      </c>
      <c r="D23" s="2"/>
    </row>
    <row r="24" spans="2:4" x14ac:dyDescent="0.2">
      <c r="B24" s="11" t="s">
        <v>127</v>
      </c>
    </row>
    <row r="27" spans="2:4" x14ac:dyDescent="0.2">
      <c r="B27" s="1" t="s">
        <v>1</v>
      </c>
      <c r="C27" s="1" t="s">
        <v>128</v>
      </c>
    </row>
    <row r="28" spans="2:4" x14ac:dyDescent="0.2">
      <c r="B28" t="s">
        <v>2</v>
      </c>
      <c r="C28">
        <v>160</v>
      </c>
    </row>
    <row r="29" spans="2:4" x14ac:dyDescent="0.2">
      <c r="B29" t="s">
        <v>4</v>
      </c>
      <c r="C29">
        <v>200</v>
      </c>
    </row>
    <row r="30" spans="2:4" x14ac:dyDescent="0.2">
      <c r="B30" t="s">
        <v>6</v>
      </c>
      <c r="C30">
        <v>220</v>
      </c>
    </row>
    <row r="31" spans="2:4" x14ac:dyDescent="0.2">
      <c r="B31" t="s">
        <v>3</v>
      </c>
      <c r="C31">
        <v>150</v>
      </c>
    </row>
    <row r="32" spans="2:4" x14ac:dyDescent="0.2">
      <c r="B32" t="s">
        <v>5</v>
      </c>
      <c r="C32">
        <v>140</v>
      </c>
    </row>
    <row r="33" spans="2:3" x14ac:dyDescent="0.2">
      <c r="B33" t="s">
        <v>7</v>
      </c>
      <c r="C33">
        <v>130</v>
      </c>
    </row>
    <row r="34" spans="2:3" x14ac:dyDescent="0.2">
      <c r="B34" s="1" t="s">
        <v>107</v>
      </c>
      <c r="C34" s="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SupplyClean</vt:lpstr>
      <vt:lpstr>DemandClean</vt:lpstr>
      <vt:lpstr>DistClean_ZR</vt:lpstr>
      <vt:lpstr>DistClean_RW</vt:lpstr>
      <vt:lpstr>DistClean_WZ</vt:lpstr>
      <vt:lpstr>TrafficRatesClean</vt:lpstr>
      <vt:lpstr>GammaClean</vt:lpstr>
      <vt:lpstr>LaneCap_ZR</vt:lpstr>
      <vt:lpstr>LaneCap_Wz</vt:lpstr>
      <vt:lpstr>Sheet4</vt:lpstr>
      <vt:lpstr>Sheet2</vt:lpstr>
      <vt:lpstr>C6</vt:lpstr>
      <vt:lpstr>Sheet1</vt:lpstr>
      <vt:lpstr>C7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Bogen, Jackson Ryder</dc:creator>
  <cp:lastModifiedBy>Bogen, Jackson Ryder</cp:lastModifiedBy>
  <dcterms:created xsi:type="dcterms:W3CDTF">2025-11-24T23:30:44Z</dcterms:created>
  <dcterms:modified xsi:type="dcterms:W3CDTF">2025-12-12T22:09:25Z</dcterms:modified>
</cp:coreProperties>
</file>